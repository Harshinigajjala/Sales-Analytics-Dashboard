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63c2981d03eb61eb/Documents/"/>
    </mc:Choice>
  </mc:AlternateContent>
  <xr:revisionPtr revIDLastSave="35" documentId="8_{1981A6C9-15CC-42E4-B84B-F6A8A870956D}" xr6:coauthVersionLast="47" xr6:coauthVersionMax="47" xr10:uidLastSave="{2E87E4A7-E2DB-4ABC-BBAB-C716E838F759}"/>
  <bookViews>
    <workbookView minimized="1" xWindow="3384" yWindow="1512" windowWidth="9132" windowHeight="11076" firstSheet="3" activeTab="11" xr2:uid="{15830B16-A2D8-458A-B077-82A03EF1F5E8}"/>
  </bookViews>
  <sheets>
    <sheet name="cust" sheetId="1" r:id="rId1"/>
    <sheet name="prod" sheetId="2" r:id="rId2"/>
    <sheet name="order" sheetId="3" r:id="rId3"/>
    <sheet name="sales" sheetId="5" r:id="rId4"/>
    <sheet name="Inv" sheetId="4" r:id="rId5"/>
    <sheet name="date" sheetId="6" r:id="rId6"/>
    <sheet name="Sheet1" sheetId="9" state="hidden" r:id="rId7"/>
    <sheet name="Sheet7" sheetId="15" r:id="rId8"/>
    <sheet name="Sheet2" sheetId="10" r:id="rId9"/>
    <sheet name="Sheet4" sheetId="12" r:id="rId10"/>
    <sheet name="Sheet5" sheetId="13" r:id="rId11"/>
    <sheet name="Sheet6" sheetId="14" r:id="rId12"/>
  </sheets>
  <definedNames>
    <definedName name="_xlcn.WorksheetConnection_harshi_Dashboard.xlsxTable101" hidden="1">Table10[]</definedName>
    <definedName name="_xlcn.WorksheetConnection_harshi_Dashboard.xlsxTable11" hidden="1">Table1[]</definedName>
    <definedName name="_xlcn.WorksheetConnection_harshi_Dashboard.xlsxTable21" hidden="1">Table2[]</definedName>
    <definedName name="_xlcn.WorksheetConnection_harshi_Dashboard.xlsxTable51" hidden="1">Table5[]</definedName>
    <definedName name="_xlcn.WorksheetConnection_harshi_Dashboard.xlsxTable61" hidden="1">Table6[]</definedName>
    <definedName name="_xlcn.WorksheetConnection_harshi_Dashboard.xlsxTable71" hidden="1">Inv!$A$1:$C$30</definedName>
    <definedName name="_xlcn.WorksheetConnection_harshi_Dashboard.xlsxTable81" hidden="1">Table8[]</definedName>
    <definedName name="Dim_inv">Table1[#All]</definedName>
    <definedName name="Slicer_Category">#N/A</definedName>
    <definedName name="Slicer_Category1">#N/A</definedName>
    <definedName name="Slicer_Category2">#N/A</definedName>
    <definedName name="Slicer_Date__Month">#N/A</definedName>
    <definedName name="Slicer_Date__Month1">#N/A</definedName>
    <definedName name="Slicer_Date__Month2">#N/A</definedName>
    <definedName name="Slicer_Date__Month3">#N/A</definedName>
    <definedName name="Slicer_region">#N/A</definedName>
    <definedName name="Slicer_region1">#N/A</definedName>
    <definedName name="Slicer_region2">#N/A</definedName>
    <definedName name="Slicer_Reorder_status">#N/A</definedName>
    <definedName name="Slicer_Segment">#N/A</definedName>
  </definedNames>
  <calcPr calcId="191029"/>
  <pivotCaches>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27" r:id="rId22"/>
    <pivotCache cacheId="30" r:id="rId23"/>
    <pivotCache cacheId="33" r:id="rId24"/>
  </pivotCaches>
  <extLst>
    <ext xmlns:x14="http://schemas.microsoft.com/office/spreadsheetml/2009/9/main" uri="{876F7934-8845-4945-9796-88D515C7AA90}">
      <x14:pivotCaches>
        <pivotCache cacheId="12" r:id="rId25"/>
        <pivotCache cacheId="13" r:id="rId26"/>
        <pivotCache cacheId="14" r:id="rId27"/>
        <pivotCache cacheId="15"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harshi_Dashboard.xlsx!Table8"/>
          <x15:modelTable id="Table7" name="Table7" connection="WorksheetConnection_harshi_Dashboard.xlsx!Table7"/>
          <x15:modelTable id="Table6" name="Table6" connection="WorksheetConnection_harshi_Dashboard.xlsx!Table6"/>
          <x15:modelTable id="Table5" name="Table5" connection="WorksheetConnection_harshi_Dashboard.xlsx!Table5"/>
          <x15:modelTable id="Table2" name="Table2" connection="WorksheetConnection_harshi_Dashboard.xlsx!Table2"/>
          <x15:modelTable id="Table10" name="Table10" connection="WorksheetConnection_harshi_Dashboard.xlsx!Table10"/>
          <x15:modelTable id="Table1" name="Table1" connection="WorksheetConnection_harshi_Dashboard.xlsx!Table1"/>
        </x15:modelTables>
        <x15:modelRelationships>
          <x15:modelRelationship fromTable="Table10" fromColumn="CustomerID" toTable="Table5" toColumn="CustomerID"/>
          <x15:modelRelationship fromTable="Table10" fromColumn="ProductID" toTable="Table6" toColumn="ProductID"/>
          <x15:modelRelationship fromTable="Table10" fromColumn="Date" toTable="Table2" toColumn="DateKey"/>
          <x15:modelRelationship fromTable="Table7" fromColumn="ProductID" toTable="Table6" toColumn="ProductID"/>
          <x15:modelRelationship fromTable="Table2" fromColumn="Month" toTable="Table8" toColumn="Month"/>
          <x15:modelRelationship fromTable="Table1" fromColumn="ProductID" toTable="Table6" toColumn="ProductID"/>
        </x15:modelRelationships>
        <x15:extLst>
          <ext xmlns:x16="http://schemas.microsoft.com/office/spreadsheetml/2014/11/main" uri="{9835A34E-60A6-4A7C-AAB8-D5F71C897F49}">
            <x16:modelTimeGroupings>
              <x16:modelTimeGrouping tableName="Table10"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E3" i="4"/>
  <c r="E4" i="4"/>
  <c r="E5" i="4"/>
  <c r="E6" i="4"/>
  <c r="E7" i="4"/>
  <c r="E8" i="4"/>
  <c r="E9" i="4"/>
  <c r="E10" i="4"/>
  <c r="E11" i="4"/>
  <c r="E12" i="4"/>
  <c r="E13" i="4"/>
  <c r="E14" i="4"/>
  <c r="E15" i="4"/>
  <c r="E16" i="4"/>
  <c r="E17" i="4"/>
  <c r="E18" i="4"/>
  <c r="E19" i="4"/>
  <c r="E20" i="4"/>
  <c r="E21" i="4"/>
  <c r="E22" i="4"/>
  <c r="D2" i="4"/>
  <c r="D3" i="4"/>
  <c r="D4" i="4"/>
  <c r="D5" i="4"/>
  <c r="D6" i="4"/>
  <c r="D7" i="4"/>
  <c r="D8" i="4"/>
  <c r="D9" i="4"/>
  <c r="D10" i="4"/>
  <c r="D11" i="4"/>
  <c r="D12" i="4"/>
  <c r="D13" i="4"/>
  <c r="D14" i="4"/>
  <c r="D15" i="4"/>
  <c r="D16" i="4"/>
  <c r="D17" i="4"/>
  <c r="D18" i="4"/>
  <c r="D19" i="4"/>
  <c r="D20" i="4"/>
  <c r="D21" i="4"/>
  <c r="D22" i="4"/>
  <c r="J9" i="3"/>
  <c r="J10" i="3"/>
  <c r="J11" i="3"/>
  <c r="J12" i="3"/>
  <c r="J13" i="3"/>
  <c r="J21" i="3"/>
  <c r="J22" i="3"/>
  <c r="J23" i="3"/>
  <c r="J24" i="3"/>
  <c r="J25" i="3"/>
  <c r="I2" i="3"/>
  <c r="J2" i="3" s="1"/>
  <c r="I3" i="3"/>
  <c r="J3" i="3" s="1"/>
  <c r="I4" i="3"/>
  <c r="J4" i="3" s="1"/>
  <c r="I5" i="3"/>
  <c r="J5" i="3" s="1"/>
  <c r="I6" i="3"/>
  <c r="J6" i="3" s="1"/>
  <c r="I7" i="3"/>
  <c r="J7" i="3" s="1"/>
  <c r="I8" i="3"/>
  <c r="J8" i="3" s="1"/>
  <c r="I9" i="3"/>
  <c r="I10" i="3"/>
  <c r="I11" i="3"/>
  <c r="I12" i="3"/>
  <c r="I13" i="3"/>
  <c r="I14" i="3"/>
  <c r="J14" i="3" s="1"/>
  <c r="I15" i="3"/>
  <c r="J15" i="3" s="1"/>
  <c r="I16" i="3"/>
  <c r="J16" i="3" s="1"/>
  <c r="I17" i="3"/>
  <c r="J17" i="3" s="1"/>
  <c r="I18" i="3"/>
  <c r="J18" i="3" s="1"/>
  <c r="I19" i="3"/>
  <c r="J19" i="3" s="1"/>
  <c r="I20" i="3"/>
  <c r="J20" i="3" s="1"/>
  <c r="I21" i="3"/>
  <c r="I22" i="3"/>
  <c r="I23" i="3"/>
  <c r="I24" i="3"/>
  <c r="I25" i="3"/>
  <c r="I26" i="3"/>
  <c r="J26" i="3" s="1"/>
  <c r="I27" i="3"/>
  <c r="J27" i="3" s="1"/>
  <c r="I28" i="3"/>
  <c r="J28" i="3" s="1"/>
  <c r="I29" i="3"/>
  <c r="J29" i="3" s="1"/>
  <c r="I30" i="3"/>
  <c r="J30" i="3" s="1"/>
  <c r="B3" i="6"/>
  <c r="B4" i="6"/>
  <c r="B2" i="6"/>
  <c r="C3" i="6"/>
  <c r="C4" i="6"/>
  <c r="C2" i="6"/>
  <c r="G2" i="3"/>
  <c r="G3" i="3"/>
  <c r="H3" i="3" s="1"/>
  <c r="G4" i="3"/>
  <c r="H4" i="3" s="1"/>
  <c r="G5" i="3"/>
  <c r="H5" i="3" s="1"/>
  <c r="G6" i="3"/>
  <c r="H6" i="3" s="1"/>
  <c r="G7" i="3"/>
  <c r="H7" i="3" s="1"/>
  <c r="G8" i="3"/>
  <c r="H8" i="3" s="1"/>
  <c r="G9" i="3"/>
  <c r="H9" i="3" s="1"/>
  <c r="G10" i="3"/>
  <c r="H10" i="3" s="1"/>
  <c r="G11" i="3"/>
  <c r="H11" i="3" s="1"/>
  <c r="G12" i="3"/>
  <c r="H12" i="3" s="1"/>
  <c r="G13" i="3"/>
  <c r="H13" i="3" s="1"/>
  <c r="G14" i="3"/>
  <c r="H14" i="3" s="1"/>
  <c r="G15" i="3"/>
  <c r="H15" i="3" s="1"/>
  <c r="G16" i="3"/>
  <c r="H16" i="3" s="1"/>
  <c r="G17" i="3"/>
  <c r="H17" i="3" s="1"/>
  <c r="G18" i="3"/>
  <c r="H18" i="3" s="1"/>
  <c r="G19" i="3"/>
  <c r="H19" i="3" s="1"/>
  <c r="G20" i="3"/>
  <c r="H20" i="3" s="1"/>
  <c r="G21" i="3"/>
  <c r="H21" i="3" s="1"/>
  <c r="G22" i="3"/>
  <c r="H22" i="3" s="1"/>
  <c r="G23" i="3"/>
  <c r="H23" i="3" s="1"/>
  <c r="G24" i="3"/>
  <c r="H24" i="3" s="1"/>
  <c r="G25" i="3"/>
  <c r="H25" i="3" s="1"/>
  <c r="G26" i="3"/>
  <c r="H26" i="3" s="1"/>
  <c r="G27" i="3"/>
  <c r="H27" i="3" s="1"/>
  <c r="G28" i="3"/>
  <c r="H28" i="3" s="1"/>
  <c r="G29" i="3"/>
  <c r="H29" i="3" s="1"/>
  <c r="G30" i="3"/>
  <c r="H30" i="3" s="1"/>
  <c r="I11" i="15"/>
  <c r="N21" i="15"/>
  <c r="D12" i="15"/>
  <c r="D21" i="15"/>
  <c r="H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3C993-F2A3-4BB5-9362-589807ADEA13}"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2" xr16:uid="{46E99AA4-AD13-4AF0-ABCC-5A3F5BAC5585}"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3" xr16:uid="{2FA5AB52-7959-48DD-A8E2-BD759FE862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0E78EA0-C877-4081-87C7-90D8BD340B91}" name="WorksheetConnection_harshi_Dashboard.xlsx!Table1" type="102" refreshedVersion="8" minRefreshableVersion="5">
    <extLst>
      <ext xmlns:x15="http://schemas.microsoft.com/office/spreadsheetml/2010/11/main" uri="{DE250136-89BD-433C-8126-D09CA5730AF9}">
        <x15:connection id="Table1" autoDelete="1">
          <x15:rangePr sourceName="_xlcn.WorksheetConnection_harshi_Dashboard.xlsxTable11"/>
        </x15:connection>
      </ext>
    </extLst>
  </connection>
  <connection id="5" xr16:uid="{084727B4-EE0C-42EB-8214-1E31EF51B404}" name="WorksheetConnection_harshi_Dashboard.xlsx!Table10" type="102" refreshedVersion="8" minRefreshableVersion="5">
    <extLst>
      <ext xmlns:x15="http://schemas.microsoft.com/office/spreadsheetml/2010/11/main" uri="{DE250136-89BD-433C-8126-D09CA5730AF9}">
        <x15:connection id="Table10">
          <x15:rangePr sourceName="_xlcn.WorksheetConnection_harshi_Dashboard.xlsxTable101"/>
        </x15:connection>
      </ext>
    </extLst>
  </connection>
  <connection id="6" xr16:uid="{AB854ECE-CAFB-4B03-8589-AE7E5761677A}" name="WorksheetConnection_harshi_Dashboard.xlsx!Table2" type="102" refreshedVersion="8" minRefreshableVersion="5">
    <extLst>
      <ext xmlns:x15="http://schemas.microsoft.com/office/spreadsheetml/2010/11/main" uri="{DE250136-89BD-433C-8126-D09CA5730AF9}">
        <x15:connection id="Table2">
          <x15:rangePr sourceName="_xlcn.WorksheetConnection_harshi_Dashboard.xlsxTable21"/>
        </x15:connection>
      </ext>
    </extLst>
  </connection>
  <connection id="7" xr16:uid="{6C18E3EB-C01D-411D-AEC8-AED95A169F87}" name="WorksheetConnection_harshi_Dashboard.xlsx!Table5" type="102" refreshedVersion="8" minRefreshableVersion="5">
    <extLst>
      <ext xmlns:x15="http://schemas.microsoft.com/office/spreadsheetml/2010/11/main" uri="{DE250136-89BD-433C-8126-D09CA5730AF9}">
        <x15:connection id="Table5">
          <x15:rangePr sourceName="_xlcn.WorksheetConnection_harshi_Dashboard.xlsxTable51"/>
        </x15:connection>
      </ext>
    </extLst>
  </connection>
  <connection id="8" xr16:uid="{C388D619-1C01-4FEA-B91E-FE446490E3FE}" name="WorksheetConnection_harshi_Dashboard.xlsx!Table6" type="102" refreshedVersion="8" minRefreshableVersion="5">
    <extLst>
      <ext xmlns:x15="http://schemas.microsoft.com/office/spreadsheetml/2010/11/main" uri="{DE250136-89BD-433C-8126-D09CA5730AF9}">
        <x15:connection id="Table6">
          <x15:rangePr sourceName="_xlcn.WorksheetConnection_harshi_Dashboard.xlsxTable61"/>
        </x15:connection>
      </ext>
    </extLst>
  </connection>
  <connection id="9" xr16:uid="{3C088A23-6C3A-4F6C-B4C0-64DAC0FFEA60}" name="WorksheetConnection_harshi_Dashboard.xlsx!Table7" type="102" refreshedVersion="8" minRefreshableVersion="5">
    <extLst>
      <ext xmlns:x15="http://schemas.microsoft.com/office/spreadsheetml/2010/11/main" uri="{DE250136-89BD-433C-8126-D09CA5730AF9}">
        <x15:connection id="Table7">
          <x15:rangePr sourceName="_xlcn.WorksheetConnection_harshi_Dashboard.xlsxTable71"/>
        </x15:connection>
      </ext>
    </extLst>
  </connection>
  <connection id="10" xr16:uid="{B6365FF1-651D-4994-809F-285F2F46DE23}" name="WorksheetConnection_harshi_Dashboard.xlsx!Table8" type="102" refreshedVersion="8" minRefreshableVersion="5">
    <extLst>
      <ext xmlns:x15="http://schemas.microsoft.com/office/spreadsheetml/2010/11/main" uri="{DE250136-89BD-433C-8126-D09CA5730AF9}">
        <x15:connection id="Table8">
          <x15:rangePr sourceName="_xlcn.WorksheetConnection_harshi_Dashboard.xlsxTable8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0].[cust type].&amp;[Repeat]}"/>
    <s v="{[Table1].[Reorder status].[All]}"/>
    <s v="{[Table1].[Dead Stock].[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<sst xmlns="http://schemas.openxmlformats.org/spreadsheetml/2006/main" count="451" uniqueCount="220">
  <si>
    <t>OrderID</t>
  </si>
  <si>
    <t>Date</t>
  </si>
  <si>
    <t>CustomerID</t>
  </si>
  <si>
    <t>ProductID</t>
  </si>
  <si>
    <t>Quantity</t>
  </si>
  <si>
    <t>Sales</t>
  </si>
  <si>
    <t>Profit</t>
  </si>
  <si>
    <t>O001</t>
  </si>
  <si>
    <t>C001</t>
  </si>
  <si>
    <t>P001</t>
  </si>
  <si>
    <t>O002</t>
  </si>
  <si>
    <t>C002</t>
  </si>
  <si>
    <t>P003</t>
  </si>
  <si>
    <t>O004</t>
  </si>
  <si>
    <t>C003</t>
  </si>
  <si>
    <t>P002</t>
  </si>
  <si>
    <t>O005</t>
  </si>
  <si>
    <t>P005</t>
  </si>
  <si>
    <t>O006</t>
  </si>
  <si>
    <t>C004</t>
  </si>
  <si>
    <t>P004</t>
  </si>
  <si>
    <t>O007</t>
  </si>
  <si>
    <t>C005</t>
  </si>
  <si>
    <t>P006</t>
  </si>
  <si>
    <t>O008</t>
  </si>
  <si>
    <t>C006</t>
  </si>
  <si>
    <t>P007</t>
  </si>
  <si>
    <t>O009</t>
  </si>
  <si>
    <t>C007</t>
  </si>
  <si>
    <t>P008</t>
  </si>
  <si>
    <t>O010</t>
  </si>
  <si>
    <t>P009</t>
  </si>
  <si>
    <t>O011</t>
  </si>
  <si>
    <t>C008</t>
  </si>
  <si>
    <t>P010</t>
  </si>
  <si>
    <t>O012</t>
  </si>
  <si>
    <t>C009</t>
  </si>
  <si>
    <t>P011</t>
  </si>
  <si>
    <t>O013</t>
  </si>
  <si>
    <t>C010</t>
  </si>
  <si>
    <t>P012</t>
  </si>
  <si>
    <t>O014</t>
  </si>
  <si>
    <t>C011</t>
  </si>
  <si>
    <t>P013</t>
  </si>
  <si>
    <t>O015</t>
  </si>
  <si>
    <t>P014</t>
  </si>
  <si>
    <t>O016</t>
  </si>
  <si>
    <t>C012</t>
  </si>
  <si>
    <t>P015</t>
  </si>
  <si>
    <t>O017</t>
  </si>
  <si>
    <t>C013</t>
  </si>
  <si>
    <t>P016</t>
  </si>
  <si>
    <t>O018</t>
  </si>
  <si>
    <t>C014</t>
  </si>
  <si>
    <t>P017</t>
  </si>
  <si>
    <t>O019</t>
  </si>
  <si>
    <t>C015</t>
  </si>
  <si>
    <t>P018</t>
  </si>
  <si>
    <t>O020</t>
  </si>
  <si>
    <t>C016</t>
  </si>
  <si>
    <t>P019</t>
  </si>
  <si>
    <t>O021</t>
  </si>
  <si>
    <t>C017</t>
  </si>
  <si>
    <t>P020</t>
  </si>
  <si>
    <t>O022</t>
  </si>
  <si>
    <t>C018</t>
  </si>
  <si>
    <t>P021</t>
  </si>
  <si>
    <t>O023</t>
  </si>
  <si>
    <t>C019</t>
  </si>
  <si>
    <t>O024</t>
  </si>
  <si>
    <t>C020</t>
  </si>
  <si>
    <t>O025</t>
  </si>
  <si>
    <t>O026</t>
  </si>
  <si>
    <t>C021</t>
  </si>
  <si>
    <t>O027</t>
  </si>
  <si>
    <t>C022</t>
  </si>
  <si>
    <t>O028</t>
  </si>
  <si>
    <t>C023</t>
  </si>
  <si>
    <t>O029</t>
  </si>
  <si>
    <t>C024</t>
  </si>
  <si>
    <t>O030</t>
  </si>
  <si>
    <t>Name</t>
  </si>
  <si>
    <t>City</t>
  </si>
  <si>
    <t>State</t>
  </si>
  <si>
    <t>Segment</t>
  </si>
  <si>
    <t>Anil Kumar</t>
  </si>
  <si>
    <t>Hyderabad</t>
  </si>
  <si>
    <t>Telangana</t>
  </si>
  <si>
    <t>Consumer</t>
  </si>
  <si>
    <t>Priya R</t>
  </si>
  <si>
    <t>Bangalore</t>
  </si>
  <si>
    <t>Karnataka</t>
  </si>
  <si>
    <t>Corporate</t>
  </si>
  <si>
    <t>Ramesh S</t>
  </si>
  <si>
    <t>Chennai</t>
  </si>
  <si>
    <t>Tamil Nadu</t>
  </si>
  <si>
    <t>Sneha M</t>
  </si>
  <si>
    <t>Pune</t>
  </si>
  <si>
    <t>Maharashtra</t>
  </si>
  <si>
    <t>Home</t>
  </si>
  <si>
    <t>Arjun V</t>
  </si>
  <si>
    <t>Mumbai</t>
  </si>
  <si>
    <t>Meera L</t>
  </si>
  <si>
    <t>Delhi</t>
  </si>
  <si>
    <t>Kiran P</t>
  </si>
  <si>
    <t>Jaipur</t>
  </si>
  <si>
    <t>Rajasthan</t>
  </si>
  <si>
    <t>Divya T</t>
  </si>
  <si>
    <t>Kochi</t>
  </si>
  <si>
    <t>Kerala</t>
  </si>
  <si>
    <t>Rohit G</t>
  </si>
  <si>
    <t>Lucknow</t>
  </si>
  <si>
    <t>UP</t>
  </si>
  <si>
    <t>Neha S</t>
  </si>
  <si>
    <t>Bhopal</t>
  </si>
  <si>
    <t>MP</t>
  </si>
  <si>
    <t>Sanjay K</t>
  </si>
  <si>
    <t>Patna</t>
  </si>
  <si>
    <t>Bihar</t>
  </si>
  <si>
    <t>Kavya N</t>
  </si>
  <si>
    <t>Vizag</t>
  </si>
  <si>
    <t>AP</t>
  </si>
  <si>
    <t>Manoj R</t>
  </si>
  <si>
    <t>Nagpur</t>
  </si>
  <si>
    <t>Rekha M</t>
  </si>
  <si>
    <t>Surat</t>
  </si>
  <si>
    <t>Gujarat</t>
  </si>
  <si>
    <t>Ajay B</t>
  </si>
  <si>
    <t>Indore</t>
  </si>
  <si>
    <t>Snehal D</t>
  </si>
  <si>
    <t>Nashik</t>
  </si>
  <si>
    <t>Pooja C</t>
  </si>
  <si>
    <t>Trichy</t>
  </si>
  <si>
    <t>Varun J</t>
  </si>
  <si>
    <t>Noida</t>
  </si>
  <si>
    <t>Shruti K</t>
  </si>
  <si>
    <t>Mysore</t>
  </si>
  <si>
    <t>Deepak L</t>
  </si>
  <si>
    <t>Amritsar</t>
  </si>
  <si>
    <t>Punjab</t>
  </si>
  <si>
    <t>Ananya P</t>
  </si>
  <si>
    <t>Ranchi</t>
  </si>
  <si>
    <t>Jharkhand</t>
  </si>
  <si>
    <t>Vivek S</t>
  </si>
  <si>
    <t>Bhubaneswar</t>
  </si>
  <si>
    <t>Odisha</t>
  </si>
  <si>
    <t>Harsha T</t>
  </si>
  <si>
    <t>Vijayawada</t>
  </si>
  <si>
    <t>Product Name</t>
  </si>
  <si>
    <t>Category</t>
  </si>
  <si>
    <t>Cost Price</t>
  </si>
  <si>
    <t>Laptop</t>
  </si>
  <si>
    <t>Electronics</t>
  </si>
  <si>
    <t>Smartphone</t>
  </si>
  <si>
    <t>Tablet</t>
  </si>
  <si>
    <t>Printer</t>
  </si>
  <si>
    <t>Office</t>
  </si>
  <si>
    <t>Desk Chair</t>
  </si>
  <si>
    <t>Furniture</t>
  </si>
  <si>
    <t>Router</t>
  </si>
  <si>
    <t>Monitor</t>
  </si>
  <si>
    <t>Sofa</t>
  </si>
  <si>
    <t>Coffee Table</t>
  </si>
  <si>
    <t>Microwave</t>
  </si>
  <si>
    <t>Appliances</t>
  </si>
  <si>
    <t>Mixer</t>
  </si>
  <si>
    <t>AC</t>
  </si>
  <si>
    <t>Fan</t>
  </si>
  <si>
    <t>Bookshelf</t>
  </si>
  <si>
    <t>Bed</t>
  </si>
  <si>
    <t>Keyboard</t>
  </si>
  <si>
    <t>Mouse</t>
  </si>
  <si>
    <t>Projector</t>
  </si>
  <si>
    <t>Whiteboard</t>
  </si>
  <si>
    <t>Chair</t>
  </si>
  <si>
    <t>Washing Machine</t>
  </si>
  <si>
    <t>Current Stock</t>
  </si>
  <si>
    <t>Reorder Level</t>
  </si>
  <si>
    <t>Month</t>
  </si>
  <si>
    <t>Target Sales</t>
  </si>
  <si>
    <t>margin per order</t>
  </si>
  <si>
    <t>total sales</t>
  </si>
  <si>
    <t>region</t>
  </si>
  <si>
    <t>South</t>
  </si>
  <si>
    <t>West</t>
  </si>
  <si>
    <t>North</t>
  </si>
  <si>
    <t>Central</t>
  </si>
  <si>
    <t>East</t>
  </si>
  <si>
    <t>DateKey</t>
  </si>
  <si>
    <t>Year</t>
  </si>
  <si>
    <t>Row Labels</t>
  </si>
  <si>
    <t>Grand Total</t>
  </si>
  <si>
    <t>south</t>
  </si>
  <si>
    <t>Feb</t>
  </si>
  <si>
    <t>Jan</t>
  </si>
  <si>
    <t>Mar</t>
  </si>
  <si>
    <t>count of orders</t>
  </si>
  <si>
    <t>cust type</t>
  </si>
  <si>
    <t>Repeat</t>
  </si>
  <si>
    <t>Count of CustomerID</t>
  </si>
  <si>
    <t>Column Labels</t>
  </si>
  <si>
    <t>Sum of Current Stock</t>
  </si>
  <si>
    <t>Reorder status</t>
  </si>
  <si>
    <t>Ok</t>
  </si>
  <si>
    <t>Reorder</t>
  </si>
  <si>
    <t>All</t>
  </si>
  <si>
    <t>Dead Stock</t>
  </si>
  <si>
    <t>Sum of Quantity</t>
  </si>
  <si>
    <t>total profit</t>
  </si>
  <si>
    <t>mprofit margin%</t>
  </si>
  <si>
    <t>avg order sales</t>
  </si>
  <si>
    <t>no of orders</t>
  </si>
  <si>
    <t>no of cust</t>
  </si>
  <si>
    <t>inv turnover</t>
  </si>
  <si>
    <t>target achivement</t>
  </si>
  <si>
    <t>cust retention %</t>
  </si>
  <si>
    <t>Total Sales</t>
  </si>
  <si>
    <t>Total Profit</t>
  </si>
  <si>
    <t>Profit Margin %</t>
  </si>
  <si>
    <t>Customer Retention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</si>
</sst>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22"/>
      <color theme="1"/>
      <name val="Aptos Narrow"/>
      <family val="2"/>
      <scheme val="minor"/>
    </font>
    <font>
      <sz val="18"/>
      <color theme="1"/>
      <name val="Aptos Narrow"/>
      <family val="2"/>
      <scheme val="minor"/>
    </font>
    <font>
      <b/>
      <sz val="14"/>
      <color theme="1"/>
      <name val="Aptos Narrow"/>
      <family val="2"/>
      <scheme val="minor"/>
    </font>
    <font>
      <sz val="22"/>
      <color theme="1"/>
      <name val="Aptos Narrow"/>
      <family val="2"/>
      <scheme val="minor"/>
    </font>
    <font>
      <sz val="16"/>
      <color theme="1"/>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EEE7"/>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1" fillId="0" borderId="0" xfId="0" applyFont="1" applyAlignment="1">
      <alignment vertical="center" wrapText="1"/>
    </xf>
    <xf numFmtId="17" fontId="1" fillId="0" borderId="0" xfId="0" applyNumberFormat="1" applyFont="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2" fillId="2" borderId="0" xfId="0" applyFont="1" applyFill="1"/>
    <xf numFmtId="0" fontId="3" fillId="2" borderId="0" xfId="0" applyFont="1" applyFill="1"/>
    <xf numFmtId="0" fontId="5" fillId="2" borderId="0" xfId="0" applyFont="1" applyFill="1"/>
    <xf numFmtId="0" fontId="0" fillId="6" borderId="0" xfId="0" applyFill="1"/>
    <xf numFmtId="0" fontId="1" fillId="6" borderId="0" xfId="0" applyFont="1" applyFill="1"/>
    <xf numFmtId="0" fontId="3" fillId="6" borderId="0" xfId="0" applyFont="1" applyFill="1"/>
    <xf numFmtId="0" fontId="2" fillId="6" borderId="0" xfId="0" applyFont="1" applyFill="1"/>
    <xf numFmtId="0" fontId="6" fillId="6" borderId="0" xfId="0" applyFont="1" applyFill="1"/>
    <xf numFmtId="0" fontId="4" fillId="6" borderId="0" xfId="0" applyFont="1" applyFill="1"/>
    <xf numFmtId="0" fontId="0" fillId="0" borderId="0" xfId="0" applyNumberFormat="1"/>
  </cellXfs>
  <cellStyles count="1">
    <cellStyle name="Normal" xfId="0" builtinId="0"/>
  </cellStyles>
  <dxfs count="32">
    <dxf>
      <numFmt numFmtId="19" formatCode="dd/mm/yyyy"/>
    </dxf>
    <dxf>
      <numFmt numFmtId="0" formatCode="General"/>
    </dxf>
    <dxf>
      <numFmt numFmtId="0" formatCode="General"/>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22" formatCode="mmm/yy"/>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EE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microsoft.com/office/2007/relationships/slicerCache" Target="slicerCaches/slicerCache4.xml"/><Relationship Id="rId37" Type="http://schemas.microsoft.com/office/2007/relationships/slicerCache" Target="slicerCaches/slicerCache9.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14.xml"/><Relationship Id="rId82" Type="http://schemas.openxmlformats.org/officeDocument/2006/relationships/customXml" Target="../customXml/item3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2.xml"/><Relationship Id="rId35" Type="http://schemas.microsoft.com/office/2007/relationships/slicerCache" Target="slicerCaches/slicerCache7.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microsoft.com/office/2007/relationships/slicerCache" Target="slicerCaches/slicerCache5.xml"/><Relationship Id="rId38" Type="http://schemas.microsoft.com/office/2007/relationships/slicerCache" Target="slicerCaches/slicerCache10.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8.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8.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07/relationships/slicerCache" Target="slicerCaches/slicerCache11.xml"/><Relationship Id="rId34" Type="http://schemas.microsoft.com/office/2007/relationships/slicerCache" Target="slicerCaches/slicerCache6.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worksheet" Target="worksheets/sheet7.xml"/><Relationship Id="rId71" Type="http://schemas.openxmlformats.org/officeDocument/2006/relationships/customXml" Target="../customXml/item24.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2.xml"/><Relationship Id="rId40" Type="http://schemas.microsoft.com/office/2007/relationships/slicerCache" Target="slicerCaches/slicerCache12.xml"/><Relationship Id="rId45" Type="http://schemas.openxmlformats.org/officeDocument/2006/relationships/sheetMetadata" Target="metadata.xml"/><Relationship Id="rId66"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AC</c:v>
                </c:pt>
                <c:pt idx="1">
                  <c:v>Fan</c:v>
                </c:pt>
                <c:pt idx="2">
                  <c:v>Microwave</c:v>
                </c:pt>
                <c:pt idx="3">
                  <c:v>Mixer</c:v>
                </c:pt>
                <c:pt idx="4">
                  <c:v>Washing Machine</c:v>
                </c:pt>
              </c:strCache>
            </c:strRef>
          </c:cat>
          <c:val>
            <c:numRef>
              <c:f>Sheet1!$B$4:$B$9</c:f>
              <c:numCache>
                <c:formatCode>General</c:formatCode>
                <c:ptCount val="5"/>
                <c:pt idx="0">
                  <c:v>9800</c:v>
                </c:pt>
                <c:pt idx="1">
                  <c:v>1000</c:v>
                </c:pt>
                <c:pt idx="2">
                  <c:v>1200</c:v>
                </c:pt>
                <c:pt idx="3">
                  <c:v>1500</c:v>
                </c:pt>
                <c:pt idx="4">
                  <c:v>2500</c:v>
                </c:pt>
              </c:numCache>
            </c:numRef>
          </c:val>
          <c:extLst>
            <c:ext xmlns:c16="http://schemas.microsoft.com/office/drawing/2014/chart" uri="{C3380CC4-5D6E-409C-BE32-E72D297353CC}">
              <c16:uniqueId val="{00000003-F812-4B46-A325-FCCFAD9EFE76}"/>
            </c:ext>
          </c:extLst>
        </c:ser>
        <c:dLbls>
          <c:showLegendKey val="0"/>
          <c:showVal val="0"/>
          <c:showCatName val="0"/>
          <c:showSerName val="0"/>
          <c:showPercent val="0"/>
          <c:showBubbleSize val="0"/>
        </c:dLbls>
        <c:gapWidth val="182"/>
        <c:axId val="1406903200"/>
        <c:axId val="1406903680"/>
      </c:barChart>
      <c:catAx>
        <c:axId val="140690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3680"/>
        <c:crosses val="autoZero"/>
        <c:auto val="1"/>
        <c:lblAlgn val="ctr"/>
        <c:lblOffset val="100"/>
        <c:noMultiLvlLbl val="0"/>
      </c:catAx>
      <c:valAx>
        <c:axId val="140690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Sheet1!$B$28</c:f>
              <c:strCache>
                <c:ptCount val="1"/>
                <c:pt idx="0">
                  <c:v>Total</c:v>
                </c:pt>
              </c:strCache>
            </c:strRef>
          </c:tx>
          <c:spPr>
            <a:solidFill>
              <a:schemeClr val="accent1"/>
            </a:solidFill>
            <a:ln>
              <a:noFill/>
            </a:ln>
            <a:effectLst/>
            <a:sp3d/>
          </c:spPr>
          <c:invertIfNegative val="0"/>
          <c:cat>
            <c:strRef>
              <c:f>Sheet1!$A$29:$A$33</c:f>
              <c:strCache>
                <c:ptCount val="4"/>
                <c:pt idx="0">
                  <c:v>Central</c:v>
                </c:pt>
                <c:pt idx="1">
                  <c:v>East</c:v>
                </c:pt>
                <c:pt idx="2">
                  <c:v>North</c:v>
                </c:pt>
                <c:pt idx="3">
                  <c:v>South</c:v>
                </c:pt>
              </c:strCache>
            </c:strRef>
          </c:cat>
          <c:val>
            <c:numRef>
              <c:f>Sheet1!$B$29:$B$33</c:f>
              <c:numCache>
                <c:formatCode>General</c:formatCode>
                <c:ptCount val="4"/>
                <c:pt idx="0">
                  <c:v>8000</c:v>
                </c:pt>
                <c:pt idx="1">
                  <c:v>1000</c:v>
                </c:pt>
                <c:pt idx="2">
                  <c:v>4000</c:v>
                </c:pt>
                <c:pt idx="3">
                  <c:v>3000</c:v>
                </c:pt>
              </c:numCache>
            </c:numRef>
          </c:val>
          <c:extLst>
            <c:ext xmlns:c16="http://schemas.microsoft.com/office/drawing/2014/chart" uri="{C3380CC4-5D6E-409C-BE32-E72D297353CC}">
              <c16:uniqueId val="{00000003-AA14-456A-A5E6-C67BF3DB8B9A}"/>
            </c:ext>
          </c:extLst>
        </c:ser>
        <c:dLbls>
          <c:showLegendKey val="0"/>
          <c:showVal val="0"/>
          <c:showCatName val="0"/>
          <c:showSerName val="0"/>
          <c:showPercent val="0"/>
          <c:showBubbleSize val="0"/>
        </c:dLbls>
        <c:gapWidth val="150"/>
        <c:shape val="box"/>
        <c:axId val="1316884992"/>
        <c:axId val="1316888352"/>
        <c:axId val="1114917200"/>
      </c:bar3DChart>
      <c:catAx>
        <c:axId val="131688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8352"/>
        <c:crosses val="autoZero"/>
        <c:auto val="1"/>
        <c:lblAlgn val="ctr"/>
        <c:lblOffset val="100"/>
        <c:noMultiLvlLbl val="0"/>
      </c:catAx>
      <c:valAx>
        <c:axId val="13168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4992"/>
        <c:crosses val="autoZero"/>
        <c:crossBetween val="between"/>
      </c:valAx>
      <c:serAx>
        <c:axId val="1114917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8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Sheet1!$B$36</c:f>
              <c:strCache>
                <c:ptCount val="1"/>
                <c:pt idx="0">
                  <c:v>Total</c:v>
                </c:pt>
              </c:strCache>
            </c:strRef>
          </c:tx>
          <c:spPr>
            <a:ln w="28575" cap="rnd">
              <a:solidFill>
                <a:schemeClr val="accent1"/>
              </a:solidFill>
              <a:round/>
            </a:ln>
            <a:effectLst/>
          </c:spPr>
          <c:marker>
            <c:symbol val="none"/>
          </c:marker>
          <c:cat>
            <c:strRef>
              <c:f>Sheet1!$A$37:$A$40</c:f>
              <c:strCache>
                <c:ptCount val="3"/>
                <c:pt idx="0">
                  <c:v>Jan</c:v>
                </c:pt>
                <c:pt idx="1">
                  <c:v>Feb</c:v>
                </c:pt>
                <c:pt idx="2">
                  <c:v>Mar</c:v>
                </c:pt>
              </c:strCache>
            </c:strRef>
          </c:cat>
          <c:val>
            <c:numRef>
              <c:f>Sheet1!$B$37:$B$40</c:f>
              <c:numCache>
                <c:formatCode>General</c:formatCode>
                <c:ptCount val="3"/>
                <c:pt idx="0">
                  <c:v>1200</c:v>
                </c:pt>
                <c:pt idx="1">
                  <c:v>10500</c:v>
                </c:pt>
                <c:pt idx="2">
                  <c:v>4300</c:v>
                </c:pt>
              </c:numCache>
            </c:numRef>
          </c:val>
          <c:smooth val="0"/>
          <c:extLst>
            <c:ext xmlns:c16="http://schemas.microsoft.com/office/drawing/2014/chart" uri="{C3380CC4-5D6E-409C-BE32-E72D297353CC}">
              <c16:uniqueId val="{00000004-E09C-43ED-9FCF-1B5E18BB3632}"/>
            </c:ext>
          </c:extLst>
        </c:ser>
        <c:dLbls>
          <c:showLegendKey val="0"/>
          <c:showVal val="0"/>
          <c:showCatName val="0"/>
          <c:showSerName val="0"/>
          <c:showPercent val="0"/>
          <c:showBubbleSize val="0"/>
        </c:dLbls>
        <c:smooth val="0"/>
        <c:axId val="239218752"/>
        <c:axId val="239219232"/>
      </c:lineChart>
      <c:catAx>
        <c:axId val="2392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9232"/>
        <c:crosses val="autoZero"/>
        <c:auto val="1"/>
        <c:lblAlgn val="ctr"/>
        <c:lblOffset val="100"/>
        <c:noMultiLvlLbl val="0"/>
      </c:catAx>
      <c:valAx>
        <c:axId val="23921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Sheet1!$N$1</c:f>
              <c:strCache>
                <c:ptCount val="1"/>
                <c:pt idx="0">
                  <c:v>Total</c:v>
                </c:pt>
              </c:strCache>
            </c:strRef>
          </c:tx>
          <c:spPr>
            <a:solidFill>
              <a:schemeClr val="accent1"/>
            </a:solidFill>
            <a:ln>
              <a:noFill/>
            </a:ln>
            <a:effectLst/>
          </c:spPr>
          <c:invertIfNegative val="0"/>
          <c:cat>
            <c:strRef>
              <c:f>Sheet1!$M$2:$M$12</c:f>
              <c:strCache>
                <c:ptCount val="10"/>
                <c:pt idx="0">
                  <c:v>Ajay B</c:v>
                </c:pt>
                <c:pt idx="1">
                  <c:v>Anil Kumar</c:v>
                </c:pt>
                <c:pt idx="2">
                  <c:v>Harsha T</c:v>
                </c:pt>
                <c:pt idx="3">
                  <c:v>Kavya N</c:v>
                </c:pt>
                <c:pt idx="4">
                  <c:v>Kiran P</c:v>
                </c:pt>
                <c:pt idx="5">
                  <c:v>Meera L</c:v>
                </c:pt>
                <c:pt idx="6">
                  <c:v>Neha S</c:v>
                </c:pt>
                <c:pt idx="7">
                  <c:v>Priya R</c:v>
                </c:pt>
                <c:pt idx="8">
                  <c:v>Ramesh S</c:v>
                </c:pt>
                <c:pt idx="9">
                  <c:v>Varun J</c:v>
                </c:pt>
              </c:strCache>
            </c:strRef>
          </c:cat>
          <c:val>
            <c:numRef>
              <c:f>Sheet1!$N$2:$N$12</c:f>
              <c:numCache>
                <c:formatCode>General</c:formatCode>
                <c:ptCount val="10"/>
                <c:pt idx="0">
                  <c:v>2000</c:v>
                </c:pt>
                <c:pt idx="1">
                  <c:v>9500</c:v>
                </c:pt>
                <c:pt idx="2">
                  <c:v>2500</c:v>
                </c:pt>
                <c:pt idx="3">
                  <c:v>9300</c:v>
                </c:pt>
                <c:pt idx="4">
                  <c:v>2200</c:v>
                </c:pt>
                <c:pt idx="5">
                  <c:v>3600</c:v>
                </c:pt>
                <c:pt idx="6">
                  <c:v>8000</c:v>
                </c:pt>
                <c:pt idx="7">
                  <c:v>3600</c:v>
                </c:pt>
                <c:pt idx="8">
                  <c:v>2400</c:v>
                </c:pt>
                <c:pt idx="9">
                  <c:v>2500</c:v>
                </c:pt>
              </c:numCache>
            </c:numRef>
          </c:val>
          <c:extLst>
            <c:ext xmlns:c16="http://schemas.microsoft.com/office/drawing/2014/chart" uri="{C3380CC4-5D6E-409C-BE32-E72D297353CC}">
              <c16:uniqueId val="{00000000-A07F-46C0-A0F5-1DB65C882262}"/>
            </c:ext>
          </c:extLst>
        </c:ser>
        <c:dLbls>
          <c:showLegendKey val="0"/>
          <c:showVal val="0"/>
          <c:showCatName val="0"/>
          <c:showSerName val="0"/>
          <c:showPercent val="0"/>
          <c:showBubbleSize val="0"/>
        </c:dLbls>
        <c:gapWidth val="182"/>
        <c:axId val="2065583024"/>
        <c:axId val="2065583504"/>
      </c:barChart>
      <c:catAx>
        <c:axId val="206558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83504"/>
        <c:crosses val="autoZero"/>
        <c:auto val="1"/>
        <c:lblAlgn val="ctr"/>
        <c:lblOffset val="100"/>
        <c:noMultiLvlLbl val="0"/>
      </c:catAx>
      <c:valAx>
        <c:axId val="20655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Sheet1!$N$14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B0-4E56-AE70-C4303FFB97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B0-4E56-AE70-C4303FFB97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0B0-4E56-AE70-C4303FFB97F4}"/>
              </c:ext>
            </c:extLst>
          </c:dPt>
          <c:cat>
            <c:strRef>
              <c:f>Sheet1!$M$15:$M$18</c:f>
              <c:strCache>
                <c:ptCount val="3"/>
                <c:pt idx="0">
                  <c:v>Consumer</c:v>
                </c:pt>
                <c:pt idx="1">
                  <c:v>Corporate</c:v>
                </c:pt>
                <c:pt idx="2">
                  <c:v>Home</c:v>
                </c:pt>
              </c:strCache>
            </c:strRef>
          </c:cat>
          <c:val>
            <c:numRef>
              <c:f>Sheet1!$N$15:$N$18</c:f>
              <c:numCache>
                <c:formatCode>General</c:formatCode>
                <c:ptCount val="3"/>
                <c:pt idx="0">
                  <c:v>28200</c:v>
                </c:pt>
                <c:pt idx="1">
                  <c:v>21700</c:v>
                </c:pt>
                <c:pt idx="2">
                  <c:v>13400</c:v>
                </c:pt>
              </c:numCache>
            </c:numRef>
          </c:val>
          <c:extLst>
            <c:ext xmlns:c16="http://schemas.microsoft.com/office/drawing/2014/chart" uri="{C3380CC4-5D6E-409C-BE32-E72D297353CC}">
              <c16:uniqueId val="{00000006-885D-4243-B8AB-0CE3DEBAFA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Sheet1!$N$34:$N$35</c:f>
              <c:strCache>
                <c:ptCount val="1"/>
                <c:pt idx="0">
                  <c:v>Jan</c:v>
                </c:pt>
              </c:strCache>
            </c:strRef>
          </c:tx>
          <c:spPr>
            <a:solidFill>
              <a:schemeClr val="accent1"/>
            </a:solidFill>
            <a:ln>
              <a:noFill/>
            </a:ln>
            <a:effectLst/>
          </c:spPr>
          <c:invertIfNegative val="0"/>
          <c:cat>
            <c:strRef>
              <c:f>Sheet1!$M$36</c:f>
              <c:strCache>
                <c:ptCount val="1"/>
                <c:pt idx="0">
                  <c:v>Total</c:v>
                </c:pt>
              </c:strCache>
            </c:strRef>
          </c:cat>
          <c:val>
            <c:numRef>
              <c:f>Sheet1!$N$36</c:f>
              <c:numCache>
                <c:formatCode>General</c:formatCode>
                <c:ptCount val="1"/>
                <c:pt idx="0">
                  <c:v>4</c:v>
                </c:pt>
              </c:numCache>
            </c:numRef>
          </c:val>
          <c:extLst>
            <c:ext xmlns:c16="http://schemas.microsoft.com/office/drawing/2014/chart" uri="{C3380CC4-5D6E-409C-BE32-E72D297353CC}">
              <c16:uniqueId val="{00000003-DC45-4DB2-9F52-70EBC897BD81}"/>
            </c:ext>
          </c:extLst>
        </c:ser>
        <c:ser>
          <c:idx val="1"/>
          <c:order val="1"/>
          <c:tx>
            <c:strRef>
              <c:f>Sheet1!$O$34:$O$35</c:f>
              <c:strCache>
                <c:ptCount val="1"/>
                <c:pt idx="0">
                  <c:v>Feb</c:v>
                </c:pt>
              </c:strCache>
            </c:strRef>
          </c:tx>
          <c:spPr>
            <a:solidFill>
              <a:schemeClr val="accent2"/>
            </a:solidFill>
            <a:ln>
              <a:noFill/>
            </a:ln>
            <a:effectLst/>
          </c:spPr>
          <c:invertIfNegative val="0"/>
          <c:cat>
            <c:strRef>
              <c:f>Sheet1!$M$36</c:f>
              <c:strCache>
                <c:ptCount val="1"/>
                <c:pt idx="0">
                  <c:v>Total</c:v>
                </c:pt>
              </c:strCache>
            </c:strRef>
          </c:cat>
          <c:val>
            <c:numRef>
              <c:f>Sheet1!$O$36</c:f>
              <c:numCache>
                <c:formatCode>General</c:formatCode>
                <c:ptCount val="1"/>
                <c:pt idx="0">
                  <c:v>1</c:v>
                </c:pt>
              </c:numCache>
            </c:numRef>
          </c:val>
          <c:extLst>
            <c:ext xmlns:c16="http://schemas.microsoft.com/office/drawing/2014/chart" uri="{C3380CC4-5D6E-409C-BE32-E72D297353CC}">
              <c16:uniqueId val="{00000004-DC45-4DB2-9F52-70EBC897BD81}"/>
            </c:ext>
          </c:extLst>
        </c:ser>
        <c:ser>
          <c:idx val="2"/>
          <c:order val="2"/>
          <c:tx>
            <c:strRef>
              <c:f>Sheet1!$P$34:$P$35</c:f>
              <c:strCache>
                <c:ptCount val="1"/>
                <c:pt idx="0">
                  <c:v>Mar</c:v>
                </c:pt>
              </c:strCache>
            </c:strRef>
          </c:tx>
          <c:spPr>
            <a:solidFill>
              <a:schemeClr val="accent3"/>
            </a:solidFill>
            <a:ln>
              <a:noFill/>
            </a:ln>
            <a:effectLst/>
          </c:spPr>
          <c:invertIfNegative val="0"/>
          <c:cat>
            <c:strRef>
              <c:f>Sheet1!$M$36</c:f>
              <c:strCache>
                <c:ptCount val="1"/>
                <c:pt idx="0">
                  <c:v>Total</c:v>
                </c:pt>
              </c:strCache>
            </c:strRef>
          </c:cat>
          <c:val>
            <c:numRef>
              <c:f>Sheet1!$P$36</c:f>
              <c:numCache>
                <c:formatCode>General</c:formatCode>
                <c:ptCount val="1"/>
                <c:pt idx="0">
                  <c:v>2</c:v>
                </c:pt>
              </c:numCache>
            </c:numRef>
          </c:val>
          <c:extLst>
            <c:ext xmlns:c16="http://schemas.microsoft.com/office/drawing/2014/chart" uri="{C3380CC4-5D6E-409C-BE32-E72D297353CC}">
              <c16:uniqueId val="{00000005-DC45-4DB2-9F52-70EBC897BD81}"/>
            </c:ext>
          </c:extLst>
        </c:ser>
        <c:dLbls>
          <c:showLegendKey val="0"/>
          <c:showVal val="0"/>
          <c:showCatName val="0"/>
          <c:showSerName val="0"/>
          <c:showPercent val="0"/>
          <c:showBubbleSize val="0"/>
        </c:dLbls>
        <c:gapWidth val="219"/>
        <c:overlap val="-27"/>
        <c:axId val="1401300047"/>
        <c:axId val="1401302927"/>
      </c:barChart>
      <c:catAx>
        <c:axId val="14013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02927"/>
        <c:crosses val="autoZero"/>
        <c:auto val="1"/>
        <c:lblAlgn val="ctr"/>
        <c:lblOffset val="100"/>
        <c:noMultiLvlLbl val="0"/>
      </c:catAx>
      <c:valAx>
        <c:axId val="140130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Sheet1!$AC$3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65-404C-8CB6-DE2705E2AD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65-404C-8CB6-DE2705E2AD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65-404C-8CB6-DE2705E2AD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65-404C-8CB6-DE2705E2ADD1}"/>
              </c:ext>
            </c:extLst>
          </c:dPt>
          <c:cat>
            <c:strRef>
              <c:f>Sheet1!$AB$4:$AB$8</c:f>
              <c:strCache>
                <c:ptCount val="4"/>
                <c:pt idx="0">
                  <c:v>Appliances</c:v>
                </c:pt>
                <c:pt idx="1">
                  <c:v>Electronics</c:v>
                </c:pt>
                <c:pt idx="2">
                  <c:v>Furniture</c:v>
                </c:pt>
                <c:pt idx="3">
                  <c:v>Office</c:v>
                </c:pt>
              </c:strCache>
            </c:strRef>
          </c:cat>
          <c:val>
            <c:numRef>
              <c:f>Sheet1!$AC$4:$AC$8</c:f>
              <c:numCache>
                <c:formatCode>General</c:formatCode>
                <c:ptCount val="4"/>
                <c:pt idx="0">
                  <c:v>60</c:v>
                </c:pt>
                <c:pt idx="1">
                  <c:v>165</c:v>
                </c:pt>
                <c:pt idx="2">
                  <c:v>57</c:v>
                </c:pt>
                <c:pt idx="3">
                  <c:v>9</c:v>
                </c:pt>
              </c:numCache>
            </c:numRef>
          </c:val>
          <c:extLst>
            <c:ext xmlns:c16="http://schemas.microsoft.com/office/drawing/2014/chart" uri="{C3380CC4-5D6E-409C-BE32-E72D297353CC}">
              <c16:uniqueId val="{00000008-85F6-4385-AE32-BA63A3AAF8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Sheet1!$Y$48</c:f>
              <c:strCache>
                <c:ptCount val="1"/>
                <c:pt idx="0">
                  <c:v>Total</c:v>
                </c:pt>
              </c:strCache>
            </c:strRef>
          </c:tx>
          <c:spPr>
            <a:solidFill>
              <a:schemeClr val="accent1"/>
            </a:solidFill>
            <a:ln>
              <a:noFill/>
            </a:ln>
            <a:effectLst/>
          </c:spPr>
          <c:invertIfNegative val="0"/>
          <c:cat>
            <c:strRef>
              <c:f>Sheet1!$X$49:$X$53</c:f>
              <c:strCache>
                <c:ptCount val="4"/>
                <c:pt idx="0">
                  <c:v>Appliances</c:v>
                </c:pt>
                <c:pt idx="1">
                  <c:v>Electronics</c:v>
                </c:pt>
                <c:pt idx="2">
                  <c:v>Furniture</c:v>
                </c:pt>
                <c:pt idx="3">
                  <c:v>Office</c:v>
                </c:pt>
              </c:strCache>
            </c:strRef>
          </c:cat>
          <c:val>
            <c:numRef>
              <c:f>Sheet1!$Y$49:$Y$53</c:f>
              <c:numCache>
                <c:formatCode>General</c:formatCode>
                <c:ptCount val="4"/>
                <c:pt idx="0">
                  <c:v>60</c:v>
                </c:pt>
                <c:pt idx="1">
                  <c:v>165</c:v>
                </c:pt>
                <c:pt idx="2">
                  <c:v>57</c:v>
                </c:pt>
                <c:pt idx="3">
                  <c:v>9</c:v>
                </c:pt>
              </c:numCache>
            </c:numRef>
          </c:val>
          <c:extLst>
            <c:ext xmlns:c16="http://schemas.microsoft.com/office/drawing/2014/chart" uri="{C3380CC4-5D6E-409C-BE32-E72D297353CC}">
              <c16:uniqueId val="{00000000-FDFD-444A-910B-65CB26CC9EE6}"/>
            </c:ext>
          </c:extLst>
        </c:ser>
        <c:dLbls>
          <c:showLegendKey val="0"/>
          <c:showVal val="0"/>
          <c:showCatName val="0"/>
          <c:showSerName val="0"/>
          <c:showPercent val="0"/>
          <c:showBubbleSize val="0"/>
        </c:dLbls>
        <c:gapWidth val="219"/>
        <c:overlap val="-27"/>
        <c:axId val="2039584816"/>
        <c:axId val="2039585296"/>
      </c:barChart>
      <c:catAx>
        <c:axId val="20395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85296"/>
        <c:crosses val="autoZero"/>
        <c:auto val="1"/>
        <c:lblAlgn val="ctr"/>
        <c:lblOffset val="100"/>
        <c:noMultiLvlLbl val="0"/>
      </c:catAx>
      <c:valAx>
        <c:axId val="203958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Sheet1!$Y$2</c:f>
              <c:strCache>
                <c:ptCount val="1"/>
                <c:pt idx="0">
                  <c:v>Current Stock</c:v>
                </c:pt>
              </c:strCache>
            </c:strRef>
          </c:tx>
          <c:spPr>
            <a:solidFill>
              <a:schemeClr val="accent1"/>
            </a:solidFill>
            <a:ln>
              <a:noFill/>
            </a:ln>
            <a:effectLst/>
            <a:sp3d/>
          </c:spPr>
          <c:invertIfNegative val="0"/>
          <c:cat>
            <c:multiLvlStrRef>
              <c:f>Sheet1!$X$3:$X$13</c:f>
              <c:multiLvlStrCache>
                <c:ptCount val="8"/>
                <c:lvl>
                  <c:pt idx="0">
                    <c:v>Appliances</c:v>
                  </c:pt>
                  <c:pt idx="1">
                    <c:v>Electronics</c:v>
                  </c:pt>
                  <c:pt idx="2">
                    <c:v>Furniture</c:v>
                  </c:pt>
                  <c:pt idx="3">
                    <c:v>Office</c:v>
                  </c:pt>
                  <c:pt idx="4">
                    <c:v>Appliances</c:v>
                  </c:pt>
                  <c:pt idx="5">
                    <c:v>Electronics</c:v>
                  </c:pt>
                  <c:pt idx="6">
                    <c:v>Furniture</c:v>
                  </c:pt>
                  <c:pt idx="7">
                    <c:v>Office</c:v>
                  </c:pt>
                </c:lvl>
                <c:lvl>
                  <c:pt idx="0">
                    <c:v>Ok</c:v>
                  </c:pt>
                  <c:pt idx="4">
                    <c:v>Reorder</c:v>
                  </c:pt>
                </c:lvl>
              </c:multiLvlStrCache>
            </c:multiLvlStrRef>
          </c:cat>
          <c:val>
            <c:numRef>
              <c:f>Sheet1!$Y$3:$Y$13</c:f>
              <c:numCache>
                <c:formatCode>General</c:formatCode>
                <c:ptCount val="8"/>
                <c:pt idx="0">
                  <c:v>30</c:v>
                </c:pt>
                <c:pt idx="1">
                  <c:v>80</c:v>
                </c:pt>
                <c:pt idx="2">
                  <c:v>20</c:v>
                </c:pt>
                <c:pt idx="3">
                  <c:v>3</c:v>
                </c:pt>
                <c:pt idx="4">
                  <c:v>30</c:v>
                </c:pt>
                <c:pt idx="5">
                  <c:v>85</c:v>
                </c:pt>
                <c:pt idx="6">
                  <c:v>37</c:v>
                </c:pt>
                <c:pt idx="7">
                  <c:v>6</c:v>
                </c:pt>
              </c:numCache>
            </c:numRef>
          </c:val>
          <c:extLst>
            <c:ext xmlns:c16="http://schemas.microsoft.com/office/drawing/2014/chart" uri="{C3380CC4-5D6E-409C-BE32-E72D297353CC}">
              <c16:uniqueId val="{00000000-184C-4778-9A43-3E8A8C7D22B8}"/>
            </c:ext>
          </c:extLst>
        </c:ser>
        <c:ser>
          <c:idx val="1"/>
          <c:order val="1"/>
          <c:tx>
            <c:strRef>
              <c:f>Sheet1!$Z$2</c:f>
              <c:strCache>
                <c:ptCount val="1"/>
                <c:pt idx="0">
                  <c:v>Reorder Level</c:v>
                </c:pt>
              </c:strCache>
            </c:strRef>
          </c:tx>
          <c:spPr>
            <a:solidFill>
              <a:schemeClr val="accent2"/>
            </a:solidFill>
            <a:ln>
              <a:noFill/>
            </a:ln>
            <a:effectLst/>
            <a:sp3d/>
          </c:spPr>
          <c:invertIfNegative val="0"/>
          <c:cat>
            <c:multiLvlStrRef>
              <c:f>Sheet1!$X$3:$X$13</c:f>
              <c:multiLvlStrCache>
                <c:ptCount val="8"/>
                <c:lvl>
                  <c:pt idx="0">
                    <c:v>Appliances</c:v>
                  </c:pt>
                  <c:pt idx="1">
                    <c:v>Electronics</c:v>
                  </c:pt>
                  <c:pt idx="2">
                    <c:v>Furniture</c:v>
                  </c:pt>
                  <c:pt idx="3">
                    <c:v>Office</c:v>
                  </c:pt>
                  <c:pt idx="4">
                    <c:v>Appliances</c:v>
                  </c:pt>
                  <c:pt idx="5">
                    <c:v>Electronics</c:v>
                  </c:pt>
                  <c:pt idx="6">
                    <c:v>Furniture</c:v>
                  </c:pt>
                  <c:pt idx="7">
                    <c:v>Office</c:v>
                  </c:pt>
                </c:lvl>
                <c:lvl>
                  <c:pt idx="0">
                    <c:v>Ok</c:v>
                  </c:pt>
                  <c:pt idx="4">
                    <c:v>Reorder</c:v>
                  </c:pt>
                </c:lvl>
              </c:multiLvlStrCache>
            </c:multiLvlStrRef>
          </c:cat>
          <c:val>
            <c:numRef>
              <c:f>Sheet1!$Z$3:$Z$13</c:f>
              <c:numCache>
                <c:formatCode>General</c:formatCode>
                <c:ptCount val="8"/>
                <c:pt idx="0">
                  <c:v>47</c:v>
                </c:pt>
                <c:pt idx="1">
                  <c:v>90</c:v>
                </c:pt>
                <c:pt idx="2">
                  <c:v>52</c:v>
                </c:pt>
                <c:pt idx="3">
                  <c:v>15</c:v>
                </c:pt>
                <c:pt idx="4">
                  <c:v>10</c:v>
                </c:pt>
                <c:pt idx="5">
                  <c:v>25</c:v>
                </c:pt>
                <c:pt idx="6">
                  <c:v>25</c:v>
                </c:pt>
                <c:pt idx="7">
                  <c:v>4</c:v>
                </c:pt>
              </c:numCache>
            </c:numRef>
          </c:val>
          <c:extLst>
            <c:ext xmlns:c16="http://schemas.microsoft.com/office/drawing/2014/chart" uri="{C3380CC4-5D6E-409C-BE32-E72D297353CC}">
              <c16:uniqueId val="{00000001-184C-4778-9A43-3E8A8C7D22B8}"/>
            </c:ext>
          </c:extLst>
        </c:ser>
        <c:dLbls>
          <c:showLegendKey val="0"/>
          <c:showVal val="0"/>
          <c:showCatName val="0"/>
          <c:showSerName val="0"/>
          <c:showPercent val="0"/>
          <c:showBubbleSize val="0"/>
        </c:dLbls>
        <c:gapWidth val="150"/>
        <c:shape val="box"/>
        <c:axId val="2084384816"/>
        <c:axId val="2084382896"/>
        <c:axId val="0"/>
      </c:bar3DChart>
      <c:catAx>
        <c:axId val="208438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82896"/>
        <c:crosses val="autoZero"/>
        <c:auto val="1"/>
        <c:lblAlgn val="ctr"/>
        <c:lblOffset val="100"/>
        <c:noMultiLvlLbl val="0"/>
      </c:catAx>
      <c:valAx>
        <c:axId val="208438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Sheet1!$AP$1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Sheet1!$AO$2:$AO$5</c:f>
              <c:strCache>
                <c:ptCount val="3"/>
                <c:pt idx="0">
                  <c:v>Jan</c:v>
                </c:pt>
                <c:pt idx="1">
                  <c:v>Feb</c:v>
                </c:pt>
                <c:pt idx="2">
                  <c:v>Mar</c:v>
                </c:pt>
              </c:strCache>
            </c:strRef>
          </c:cat>
          <c:val>
            <c:numRef>
              <c:f>Sheet1!$AP$2:$AP$5</c:f>
              <c:numCache>
                <c:formatCode>General</c:formatCode>
                <c:ptCount val="3"/>
                <c:pt idx="0">
                  <c:v>21100</c:v>
                </c:pt>
                <c:pt idx="1">
                  <c:v>26100</c:v>
                </c:pt>
                <c:pt idx="2">
                  <c:v>16100</c:v>
                </c:pt>
              </c:numCache>
            </c:numRef>
          </c:val>
          <c:smooth val="0"/>
          <c:extLst>
            <c:ext xmlns:c16="http://schemas.microsoft.com/office/drawing/2014/chart" uri="{C3380CC4-5D6E-409C-BE32-E72D297353CC}">
              <c16:uniqueId val="{00000004-24C3-48C7-87D6-7B394646B79C}"/>
            </c:ext>
          </c:extLst>
        </c:ser>
        <c:dLbls>
          <c:showLegendKey val="0"/>
          <c:showVal val="0"/>
          <c:showCatName val="0"/>
          <c:showSerName val="0"/>
          <c:showPercent val="0"/>
          <c:showBubbleSize val="0"/>
        </c:dLbls>
        <c:marker val="1"/>
        <c:smooth val="0"/>
        <c:axId val="2027017344"/>
        <c:axId val="2077164768"/>
      </c:lineChart>
      <c:catAx>
        <c:axId val="20270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4768"/>
        <c:crosses val="autoZero"/>
        <c:auto val="1"/>
        <c:lblAlgn val="ctr"/>
        <c:lblOffset val="100"/>
        <c:noMultiLvlLbl val="0"/>
      </c:catAx>
      <c:valAx>
        <c:axId val="207716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01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6328484981044037"/>
          <c:w val="0.73050153105861759"/>
          <c:h val="0.53811424613589964"/>
        </c:manualLayout>
      </c:layout>
      <c:barChart>
        <c:barDir val="col"/>
        <c:grouping val="clustered"/>
        <c:varyColors val="0"/>
        <c:ser>
          <c:idx val="0"/>
          <c:order val="0"/>
          <c:tx>
            <c:strRef>
              <c:f>Sheet1!$AP$17</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forward val="3"/>
            <c:dispRSqr val="0"/>
            <c:dispEq val="0"/>
          </c:trendline>
          <c:cat>
            <c:strRef>
              <c:f>Sheet1!$AO$18:$AO$22</c:f>
              <c:strCache>
                <c:ptCount val="4"/>
                <c:pt idx="0">
                  <c:v>Appliances</c:v>
                </c:pt>
                <c:pt idx="1">
                  <c:v>Electronics</c:v>
                </c:pt>
                <c:pt idx="2">
                  <c:v>Furniture</c:v>
                </c:pt>
                <c:pt idx="3">
                  <c:v>Office</c:v>
                </c:pt>
              </c:strCache>
            </c:strRef>
          </c:cat>
          <c:val>
            <c:numRef>
              <c:f>Sheet1!$AP$18:$AP$22</c:f>
              <c:numCache>
                <c:formatCode>General</c:formatCode>
                <c:ptCount val="4"/>
                <c:pt idx="0">
                  <c:v>16</c:v>
                </c:pt>
                <c:pt idx="1">
                  <c:v>30</c:v>
                </c:pt>
                <c:pt idx="2">
                  <c:v>26</c:v>
                </c:pt>
                <c:pt idx="3">
                  <c:v>13</c:v>
                </c:pt>
              </c:numCache>
            </c:numRef>
          </c:val>
          <c:extLst>
            <c:ext xmlns:c16="http://schemas.microsoft.com/office/drawing/2014/chart" uri="{C3380CC4-5D6E-409C-BE32-E72D297353CC}">
              <c16:uniqueId val="{00000000-FA52-4E8D-B452-AF332BD2E8F4}"/>
            </c:ext>
          </c:extLst>
        </c:ser>
        <c:dLbls>
          <c:showLegendKey val="0"/>
          <c:showVal val="0"/>
          <c:showCatName val="0"/>
          <c:showSerName val="0"/>
          <c:showPercent val="0"/>
          <c:showBubbleSize val="0"/>
        </c:dLbls>
        <c:gapWidth val="219"/>
        <c:overlap val="-27"/>
        <c:axId val="703856927"/>
        <c:axId val="703855967"/>
      </c:barChart>
      <c:catAx>
        <c:axId val="7038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5967"/>
        <c:crosses val="autoZero"/>
        <c:auto val="1"/>
        <c:lblAlgn val="ctr"/>
        <c:lblOffset val="100"/>
        <c:noMultiLvlLbl val="0"/>
      </c:catAx>
      <c:valAx>
        <c:axId val="70385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419447168131754E-2"/>
          <c:y val="0.22767609880592224"/>
          <c:w val="0.73161673873075217"/>
          <c:h val="0.60058337344695656"/>
        </c:manualLayout>
      </c:layout>
      <c:bar3DChart>
        <c:barDir val="col"/>
        <c:grouping val="standard"/>
        <c:varyColors val="0"/>
        <c:ser>
          <c:idx val="0"/>
          <c:order val="0"/>
          <c:tx>
            <c:strRef>
              <c:f>Sheet1!$B$28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Sheet1!$A$29:$A$33</c:f>
              <c:strCache>
                <c:ptCount val="4"/>
                <c:pt idx="0">
                  <c:v>Central</c:v>
                </c:pt>
                <c:pt idx="1">
                  <c:v>East</c:v>
                </c:pt>
                <c:pt idx="2">
                  <c:v>North</c:v>
                </c:pt>
                <c:pt idx="3">
                  <c:v>South</c:v>
                </c:pt>
              </c:strCache>
            </c:strRef>
          </c:cat>
          <c:val>
            <c:numRef>
              <c:f>Sheet1!$B$29:$B$33</c:f>
              <c:numCache>
                <c:formatCode>General</c:formatCode>
                <c:ptCount val="4"/>
                <c:pt idx="0">
                  <c:v>8000</c:v>
                </c:pt>
                <c:pt idx="1">
                  <c:v>1000</c:v>
                </c:pt>
                <c:pt idx="2">
                  <c:v>4000</c:v>
                </c:pt>
                <c:pt idx="3">
                  <c:v>3000</c:v>
                </c:pt>
              </c:numCache>
            </c:numRef>
          </c:val>
          <c:extLst>
            <c:ext xmlns:c16="http://schemas.microsoft.com/office/drawing/2014/chart" uri="{C3380CC4-5D6E-409C-BE32-E72D297353CC}">
              <c16:uniqueId val="{00000004-D6C9-499E-AD32-0A576B0E8859}"/>
            </c:ext>
          </c:extLst>
        </c:ser>
        <c:dLbls>
          <c:showLegendKey val="0"/>
          <c:showVal val="1"/>
          <c:showCatName val="0"/>
          <c:showSerName val="0"/>
          <c:showPercent val="0"/>
          <c:showBubbleSize val="0"/>
        </c:dLbls>
        <c:gapWidth val="150"/>
        <c:shape val="box"/>
        <c:axId val="1316884992"/>
        <c:axId val="1316888352"/>
        <c:axId val="1114917200"/>
      </c:bar3DChart>
      <c:catAx>
        <c:axId val="131688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8352"/>
        <c:crosses val="autoZero"/>
        <c:auto val="1"/>
        <c:lblAlgn val="ctr"/>
        <c:lblOffset val="100"/>
        <c:noMultiLvlLbl val="0"/>
      </c:catAx>
      <c:valAx>
        <c:axId val="13168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4992"/>
        <c:crosses val="autoZero"/>
        <c:crossBetween val="between"/>
      </c:valAx>
      <c:serAx>
        <c:axId val="1114917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883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Sheet1!$A$37:$A$40</c:f>
              <c:strCache>
                <c:ptCount val="3"/>
                <c:pt idx="0">
                  <c:v>Jan</c:v>
                </c:pt>
                <c:pt idx="1">
                  <c:v>Feb</c:v>
                </c:pt>
                <c:pt idx="2">
                  <c:v>Mar</c:v>
                </c:pt>
              </c:strCache>
            </c:strRef>
          </c:cat>
          <c:val>
            <c:numRef>
              <c:f>Sheet1!$B$37:$B$40</c:f>
              <c:numCache>
                <c:formatCode>General</c:formatCode>
                <c:ptCount val="3"/>
                <c:pt idx="0">
                  <c:v>1200</c:v>
                </c:pt>
                <c:pt idx="1">
                  <c:v>10500</c:v>
                </c:pt>
                <c:pt idx="2">
                  <c:v>4300</c:v>
                </c:pt>
              </c:numCache>
            </c:numRef>
          </c:val>
          <c:smooth val="0"/>
          <c:extLst>
            <c:ext xmlns:c16="http://schemas.microsoft.com/office/drawing/2014/chart" uri="{C3380CC4-5D6E-409C-BE32-E72D297353CC}">
              <c16:uniqueId val="{00000005-919B-406E-AAA2-1C332B63982A}"/>
            </c:ext>
          </c:extLst>
        </c:ser>
        <c:dLbls>
          <c:dLblPos val="t"/>
          <c:showLegendKey val="0"/>
          <c:showVal val="1"/>
          <c:showCatName val="0"/>
          <c:showSerName val="0"/>
          <c:showPercent val="0"/>
          <c:showBubbleSize val="0"/>
        </c:dLbls>
        <c:smooth val="0"/>
        <c:axId val="239218752"/>
        <c:axId val="239219232"/>
      </c:lineChart>
      <c:catAx>
        <c:axId val="2392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9232"/>
        <c:crosses val="autoZero"/>
        <c:auto val="1"/>
        <c:lblAlgn val="ctr"/>
        <c:lblOffset val="100"/>
        <c:noMultiLvlLbl val="0"/>
      </c:catAx>
      <c:valAx>
        <c:axId val="23921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p>
        </c:rich>
      </c:tx>
      <c:layout>
        <c:manualLayout>
          <c:xMode val="edge"/>
          <c:yMode val="edge"/>
          <c:x val="0.41930878168513125"/>
          <c:y val="8.6708827394899615E-2"/>
        </c:manualLayout>
      </c:layout>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AC</c:v>
                </c:pt>
                <c:pt idx="1">
                  <c:v>Fan</c:v>
                </c:pt>
                <c:pt idx="2">
                  <c:v>Microwave</c:v>
                </c:pt>
                <c:pt idx="3">
                  <c:v>Mixer</c:v>
                </c:pt>
                <c:pt idx="4">
                  <c:v>Washing Machine</c:v>
                </c:pt>
              </c:strCache>
            </c:strRef>
          </c:cat>
          <c:val>
            <c:numRef>
              <c:f>Sheet1!$B$4:$B$9</c:f>
              <c:numCache>
                <c:formatCode>General</c:formatCode>
                <c:ptCount val="5"/>
                <c:pt idx="0">
                  <c:v>9800</c:v>
                </c:pt>
                <c:pt idx="1">
                  <c:v>1000</c:v>
                </c:pt>
                <c:pt idx="2">
                  <c:v>1200</c:v>
                </c:pt>
                <c:pt idx="3">
                  <c:v>1500</c:v>
                </c:pt>
                <c:pt idx="4">
                  <c:v>2500</c:v>
                </c:pt>
              </c:numCache>
            </c:numRef>
          </c:val>
          <c:extLst>
            <c:ext xmlns:c16="http://schemas.microsoft.com/office/drawing/2014/chart" uri="{C3380CC4-5D6E-409C-BE32-E72D297353CC}">
              <c16:uniqueId val="{00000000-C498-4B76-A95B-24E1D4F0C887}"/>
            </c:ext>
          </c:extLst>
        </c:ser>
        <c:dLbls>
          <c:showLegendKey val="0"/>
          <c:showVal val="0"/>
          <c:showCatName val="0"/>
          <c:showSerName val="0"/>
          <c:showPercent val="0"/>
          <c:showBubbleSize val="0"/>
        </c:dLbls>
        <c:gapWidth val="182"/>
        <c:axId val="1406903200"/>
        <c:axId val="1406903680"/>
      </c:barChart>
      <c:catAx>
        <c:axId val="1406903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3680"/>
        <c:crosses val="autoZero"/>
        <c:auto val="1"/>
        <c:lblAlgn val="ctr"/>
        <c:lblOffset val="100"/>
        <c:noMultiLvlLbl val="0"/>
      </c:catAx>
      <c:valAx>
        <c:axId val="14069036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[harshi_Dashboard.xlsx]Sheet1!PivotTable1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Sheet1!$N$1</c:f>
              <c:strCache>
                <c:ptCount val="1"/>
                <c:pt idx="0">
                  <c:v>Total</c:v>
                </c:pt>
              </c:strCache>
            </c:strRef>
          </c:tx>
          <c:spPr>
            <a:solidFill>
              <a:schemeClr val="accent2"/>
            </a:solidFill>
            <a:ln>
              <a:solidFill>
                <a:schemeClr val="tx1"/>
              </a:solidFill>
            </a:ln>
            <a:effectLst/>
          </c:spPr>
          <c:invertIfNegative val="0"/>
          <c:cat>
            <c:strRef>
              <c:f>Sheet1!$M$2:$M$12</c:f>
              <c:strCache>
                <c:ptCount val="10"/>
                <c:pt idx="0">
                  <c:v>Ajay B</c:v>
                </c:pt>
                <c:pt idx="1">
                  <c:v>Anil Kumar</c:v>
                </c:pt>
                <c:pt idx="2">
                  <c:v>Harsha T</c:v>
                </c:pt>
                <c:pt idx="3">
                  <c:v>Kavya N</c:v>
                </c:pt>
                <c:pt idx="4">
                  <c:v>Kiran P</c:v>
                </c:pt>
                <c:pt idx="5">
                  <c:v>Meera L</c:v>
                </c:pt>
                <c:pt idx="6">
                  <c:v>Neha S</c:v>
                </c:pt>
                <c:pt idx="7">
                  <c:v>Priya R</c:v>
                </c:pt>
                <c:pt idx="8">
                  <c:v>Ramesh S</c:v>
                </c:pt>
                <c:pt idx="9">
                  <c:v>Varun J</c:v>
                </c:pt>
              </c:strCache>
            </c:strRef>
          </c:cat>
          <c:val>
            <c:numRef>
              <c:f>Sheet1!$N$2:$N$12</c:f>
              <c:numCache>
                <c:formatCode>General</c:formatCode>
                <c:ptCount val="10"/>
                <c:pt idx="0">
                  <c:v>2000</c:v>
                </c:pt>
                <c:pt idx="1">
                  <c:v>9500</c:v>
                </c:pt>
                <c:pt idx="2">
                  <c:v>2500</c:v>
                </c:pt>
                <c:pt idx="3">
                  <c:v>9300</c:v>
                </c:pt>
                <c:pt idx="4">
                  <c:v>2200</c:v>
                </c:pt>
                <c:pt idx="5">
                  <c:v>3600</c:v>
                </c:pt>
                <c:pt idx="6">
                  <c:v>8000</c:v>
                </c:pt>
                <c:pt idx="7">
                  <c:v>3600</c:v>
                </c:pt>
                <c:pt idx="8">
                  <c:v>2400</c:v>
                </c:pt>
                <c:pt idx="9">
                  <c:v>2500</c:v>
                </c:pt>
              </c:numCache>
            </c:numRef>
          </c:val>
          <c:extLst>
            <c:ext xmlns:c16="http://schemas.microsoft.com/office/drawing/2014/chart" uri="{C3380CC4-5D6E-409C-BE32-E72D297353CC}">
              <c16:uniqueId val="{00000001-61AE-4480-AE13-8D11FD53FA2C}"/>
            </c:ext>
          </c:extLst>
        </c:ser>
        <c:dLbls>
          <c:showLegendKey val="0"/>
          <c:showVal val="0"/>
          <c:showCatName val="0"/>
          <c:showSerName val="0"/>
          <c:showPercent val="0"/>
          <c:showBubbleSize val="0"/>
        </c:dLbls>
        <c:gapWidth val="182"/>
        <c:axId val="2065583024"/>
        <c:axId val="2065583504"/>
      </c:barChart>
      <c:catAx>
        <c:axId val="206558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83504"/>
        <c:crosses val="autoZero"/>
        <c:auto val="1"/>
        <c:lblAlgn val="ctr"/>
        <c:lblOffset val="100"/>
        <c:noMultiLvlLbl val="0"/>
      </c:catAx>
      <c:valAx>
        <c:axId val="2065583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Customer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tx1"/>
            </a:solidFill>
          </a:ln>
          <a:effectLst/>
          <a:sp3d contourW="25400">
            <a:contourClr>
              <a:schemeClr val="tx1"/>
            </a:contourClr>
          </a:sp3d>
        </c:spPr>
      </c:pivotFmt>
      <c:pivotFmt>
        <c:idx val="13"/>
        <c:spPr>
          <a:solidFill>
            <a:schemeClr val="accent1"/>
          </a:solidFill>
          <a:ln w="25400">
            <a:solidFill>
              <a:schemeClr val="tx1"/>
            </a:solidFill>
          </a:ln>
          <a:effectLst/>
          <a:sp3d contourW="25400">
            <a:contourClr>
              <a:schemeClr val="tx1"/>
            </a:contourClr>
          </a:sp3d>
        </c:spPr>
      </c:pivotFmt>
      <c:pivotFmt>
        <c:idx val="14"/>
        <c:spPr>
          <a:solidFill>
            <a:schemeClr val="accent1"/>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544637631202239E-2"/>
          <c:y val="0.26018739437946553"/>
          <c:w val="0.73943402678952719"/>
          <c:h val="0.68948580564488737"/>
        </c:manualLayout>
      </c:layout>
      <c:pie3DChart>
        <c:varyColors val="1"/>
        <c:ser>
          <c:idx val="0"/>
          <c:order val="0"/>
          <c:tx>
            <c:strRef>
              <c:f>Sheet1!$N$14</c:f>
              <c:strCache>
                <c:ptCount val="1"/>
                <c:pt idx="0">
                  <c:v>Total</c:v>
                </c:pt>
              </c:strCache>
            </c:strRef>
          </c:tx>
          <c:spPr>
            <a:ln>
              <a:solidFill>
                <a:schemeClr val="tx1"/>
              </a:solidFill>
            </a:ln>
          </c:spPr>
          <c:dPt>
            <c:idx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1-BF13-44A4-ADA4-6CC14B4B4C3F}"/>
              </c:ext>
            </c:extLst>
          </c:dPt>
          <c:dPt>
            <c:idx val="1"/>
            <c:bubble3D val="0"/>
            <c:spPr>
              <a:solidFill>
                <a:schemeClr val="accent2"/>
              </a:solidFill>
              <a:ln w="25400">
                <a:solidFill>
                  <a:schemeClr val="tx1"/>
                </a:solidFill>
              </a:ln>
              <a:effectLst/>
              <a:sp3d contourW="25400">
                <a:contourClr>
                  <a:schemeClr val="tx1"/>
                </a:contourClr>
              </a:sp3d>
            </c:spPr>
            <c:extLst>
              <c:ext xmlns:c16="http://schemas.microsoft.com/office/drawing/2014/chart" uri="{C3380CC4-5D6E-409C-BE32-E72D297353CC}">
                <c16:uniqueId val="{00000003-BF13-44A4-ADA4-6CC14B4B4C3F}"/>
              </c:ext>
            </c:extLst>
          </c:dPt>
          <c:dPt>
            <c:idx val="2"/>
            <c:bubble3D val="0"/>
            <c:spPr>
              <a:solidFill>
                <a:schemeClr val="accent3"/>
              </a:solidFill>
              <a:ln w="25400">
                <a:solidFill>
                  <a:schemeClr val="tx1"/>
                </a:solidFill>
              </a:ln>
              <a:effectLst/>
              <a:sp3d contourW="25400">
                <a:contourClr>
                  <a:schemeClr val="tx1"/>
                </a:contourClr>
              </a:sp3d>
            </c:spPr>
            <c:extLst>
              <c:ext xmlns:c16="http://schemas.microsoft.com/office/drawing/2014/chart" uri="{C3380CC4-5D6E-409C-BE32-E72D297353CC}">
                <c16:uniqueId val="{00000005-BF13-44A4-ADA4-6CC14B4B4C3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Sheet1!$M$15:$M$18</c:f>
              <c:strCache>
                <c:ptCount val="3"/>
                <c:pt idx="0">
                  <c:v>Consumer</c:v>
                </c:pt>
                <c:pt idx="1">
                  <c:v>Corporate</c:v>
                </c:pt>
                <c:pt idx="2">
                  <c:v>Home</c:v>
                </c:pt>
              </c:strCache>
            </c:strRef>
          </c:cat>
          <c:val>
            <c:numRef>
              <c:f>Sheet1!$N$15:$N$18</c:f>
              <c:numCache>
                <c:formatCode>General</c:formatCode>
                <c:ptCount val="3"/>
                <c:pt idx="0">
                  <c:v>28200</c:v>
                </c:pt>
                <c:pt idx="1">
                  <c:v>21700</c:v>
                </c:pt>
                <c:pt idx="2">
                  <c:v>13400</c:v>
                </c:pt>
              </c:numCache>
            </c:numRef>
          </c:val>
          <c:extLst>
            <c:ext xmlns:c16="http://schemas.microsoft.com/office/drawing/2014/chart" uri="{C3380CC4-5D6E-409C-BE32-E72D297353CC}">
              <c16:uniqueId val="{00000007-8CDD-48AB-9EA6-716CC096958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Repeat</a:t>
            </a:r>
            <a:r>
              <a:rPr lang="en-IN" baseline="0"/>
              <a:t> Customers</a:t>
            </a:r>
          </a:p>
        </c:rich>
      </c:tx>
      <c:layout>
        <c:manualLayout>
          <c:xMode val="edge"/>
          <c:yMode val="edge"/>
          <c:x val="0.37888066474518817"/>
          <c:y val="0.162688584751677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solidFill>
              <a:schemeClr val="tx1"/>
            </a:solidFill>
          </a:ln>
          <a:effectLst/>
        </c:spPr>
      </c:pivotFmt>
    </c:pivotFmts>
    <c:plotArea>
      <c:layout>
        <c:manualLayout>
          <c:layoutTarget val="inner"/>
          <c:xMode val="edge"/>
          <c:yMode val="edge"/>
          <c:x val="5.329557107365266E-2"/>
          <c:y val="0.37524318239783216"/>
          <c:w val="0.72038761203178048"/>
          <c:h val="0.50512259986150176"/>
        </c:manualLayout>
      </c:layout>
      <c:barChart>
        <c:barDir val="col"/>
        <c:grouping val="clustered"/>
        <c:varyColors val="0"/>
        <c:ser>
          <c:idx val="0"/>
          <c:order val="0"/>
          <c:tx>
            <c:strRef>
              <c:f>Sheet1!$N$34:$N$35</c:f>
              <c:strCache>
                <c:ptCount val="1"/>
                <c:pt idx="0">
                  <c:v>Jan</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Sheet1!$M$36</c:f>
              <c:strCache>
                <c:ptCount val="1"/>
                <c:pt idx="0">
                  <c:v>Total</c:v>
                </c:pt>
              </c:strCache>
            </c:strRef>
          </c:cat>
          <c:val>
            <c:numRef>
              <c:f>Sheet1!$N$36</c:f>
              <c:numCache>
                <c:formatCode>General</c:formatCode>
                <c:ptCount val="1"/>
                <c:pt idx="0">
                  <c:v>4</c:v>
                </c:pt>
              </c:numCache>
            </c:numRef>
          </c:val>
          <c:extLst>
            <c:ext xmlns:c16="http://schemas.microsoft.com/office/drawing/2014/chart" uri="{C3380CC4-5D6E-409C-BE32-E72D297353CC}">
              <c16:uniqueId val="{00000005-DC02-4142-A547-E458C58AC7A2}"/>
            </c:ext>
          </c:extLst>
        </c:ser>
        <c:ser>
          <c:idx val="1"/>
          <c:order val="1"/>
          <c:tx>
            <c:strRef>
              <c:f>Sheet1!$O$34:$O$35</c:f>
              <c:strCache>
                <c:ptCount val="1"/>
                <c:pt idx="0">
                  <c:v>Feb</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Sheet1!$M$36</c:f>
              <c:strCache>
                <c:ptCount val="1"/>
                <c:pt idx="0">
                  <c:v>Total</c:v>
                </c:pt>
              </c:strCache>
            </c:strRef>
          </c:cat>
          <c:val>
            <c:numRef>
              <c:f>Sheet1!$O$36</c:f>
              <c:numCache>
                <c:formatCode>General</c:formatCode>
                <c:ptCount val="1"/>
                <c:pt idx="0">
                  <c:v>1</c:v>
                </c:pt>
              </c:numCache>
            </c:numRef>
          </c:val>
          <c:extLst>
            <c:ext xmlns:c16="http://schemas.microsoft.com/office/drawing/2014/chart" uri="{C3380CC4-5D6E-409C-BE32-E72D297353CC}">
              <c16:uniqueId val="{00000006-DC02-4142-A547-E458C58AC7A2}"/>
            </c:ext>
          </c:extLst>
        </c:ser>
        <c:ser>
          <c:idx val="2"/>
          <c:order val="2"/>
          <c:tx>
            <c:strRef>
              <c:f>Sheet1!$P$34:$P$35</c:f>
              <c:strCache>
                <c:ptCount val="1"/>
                <c:pt idx="0">
                  <c:v>Mar</c:v>
                </c:pt>
              </c:strCache>
            </c:strRef>
          </c:tx>
          <c:spPr>
            <a:solidFill>
              <a:schemeClr val="accent3"/>
            </a:solidFill>
            <a:ln>
              <a:noFill/>
            </a:ln>
            <a:effectLst/>
          </c:spPr>
          <c:invertIfNegative val="0"/>
          <c:dPt>
            <c:idx val="0"/>
            <c:invertIfNegative val="0"/>
            <c:bubble3D val="0"/>
            <c:spPr>
              <a:solidFill>
                <a:schemeClr val="accent3"/>
              </a:solidFill>
              <a:ln>
                <a:solidFill>
                  <a:schemeClr val="tx1"/>
                </a:solidFill>
              </a:ln>
              <a:effectLst/>
            </c:spPr>
            <c:extLst>
              <c:ext xmlns:c16="http://schemas.microsoft.com/office/drawing/2014/chart" uri="{C3380CC4-5D6E-409C-BE32-E72D297353CC}">
                <c16:uniqueId val="{00000001-371B-4C56-A68B-22C304BFE8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Sheet1!$M$36</c:f>
              <c:strCache>
                <c:ptCount val="1"/>
                <c:pt idx="0">
                  <c:v>Total</c:v>
                </c:pt>
              </c:strCache>
            </c:strRef>
          </c:cat>
          <c:val>
            <c:numRef>
              <c:f>Sheet1!$P$36</c:f>
              <c:numCache>
                <c:formatCode>General</c:formatCode>
                <c:ptCount val="1"/>
                <c:pt idx="0">
                  <c:v>2</c:v>
                </c:pt>
              </c:numCache>
            </c:numRef>
          </c:val>
          <c:extLst>
            <c:ext xmlns:c16="http://schemas.microsoft.com/office/drawing/2014/chart" uri="{C3380CC4-5D6E-409C-BE32-E72D297353CC}">
              <c16:uniqueId val="{00000007-DC02-4142-A547-E458C58AC7A2}"/>
            </c:ext>
          </c:extLst>
        </c:ser>
        <c:dLbls>
          <c:dLblPos val="outEnd"/>
          <c:showLegendKey val="0"/>
          <c:showVal val="1"/>
          <c:showCatName val="0"/>
          <c:showSerName val="0"/>
          <c:showPercent val="0"/>
          <c:showBubbleSize val="0"/>
        </c:dLbls>
        <c:gapWidth val="219"/>
        <c:overlap val="-27"/>
        <c:axId val="1401300047"/>
        <c:axId val="1401302927"/>
      </c:barChart>
      <c:catAx>
        <c:axId val="14013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02927"/>
        <c:crosses val="autoZero"/>
        <c:auto val="1"/>
        <c:lblAlgn val="ctr"/>
        <c:lblOffset val="100"/>
        <c:noMultiLvlLbl val="0"/>
      </c:catAx>
      <c:valAx>
        <c:axId val="140130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[harshi_Dashboard.xlsx]Sheet1!PivotTable6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pivotFmt>
      <c:pivotFmt>
        <c:idx val="12"/>
        <c:spPr>
          <a:solidFill>
            <a:schemeClr val="accent1">
              <a:shade val="86000"/>
            </a:schemeClr>
          </a:solidFill>
          <a:ln w="19050">
            <a:solidFill>
              <a:schemeClr val="lt1"/>
            </a:solidFill>
          </a:ln>
          <a:effectLst/>
        </c:spPr>
      </c:pivotFmt>
      <c:pivotFmt>
        <c:idx val="13"/>
        <c:spPr>
          <a:solidFill>
            <a:schemeClr val="accent1">
              <a:tint val="86000"/>
            </a:schemeClr>
          </a:solidFill>
          <a:ln w="19050">
            <a:solidFill>
              <a:schemeClr val="lt1"/>
            </a:solidFill>
          </a:ln>
          <a:effectLst/>
        </c:spPr>
      </c:pivotFmt>
      <c:pivotFmt>
        <c:idx val="14"/>
        <c:spPr>
          <a:solidFill>
            <a:schemeClr val="accent1">
              <a:tint val="58000"/>
            </a:schemeClr>
          </a:solidFill>
          <a:ln w="19050">
            <a:solidFill>
              <a:schemeClr val="lt1"/>
            </a:solidFill>
          </a:ln>
          <a:effectLst/>
        </c:spPr>
      </c:pivotFmt>
    </c:pivotFmts>
    <c:plotArea>
      <c:layout/>
      <c:doughnutChart>
        <c:varyColors val="1"/>
        <c:ser>
          <c:idx val="0"/>
          <c:order val="0"/>
          <c:tx>
            <c:strRef>
              <c:f>Sheet1!$AC$3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522F-4063-A04B-DB55131F5831}"/>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522F-4063-A04B-DB55131F5831}"/>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522F-4063-A04B-DB55131F5831}"/>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522F-4063-A04B-DB55131F583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Sheet1!$AB$4:$AB$8</c:f>
              <c:strCache>
                <c:ptCount val="4"/>
                <c:pt idx="0">
                  <c:v>Appliances</c:v>
                </c:pt>
                <c:pt idx="1">
                  <c:v>Electronics</c:v>
                </c:pt>
                <c:pt idx="2">
                  <c:v>Furniture</c:v>
                </c:pt>
                <c:pt idx="3">
                  <c:v>Office</c:v>
                </c:pt>
              </c:strCache>
            </c:strRef>
          </c:cat>
          <c:val>
            <c:numRef>
              <c:f>Sheet1!$AC$4:$AC$8</c:f>
              <c:numCache>
                <c:formatCode>General</c:formatCode>
                <c:ptCount val="4"/>
                <c:pt idx="0">
                  <c:v>60</c:v>
                </c:pt>
                <c:pt idx="1">
                  <c:v>165</c:v>
                </c:pt>
                <c:pt idx="2">
                  <c:v>57</c:v>
                </c:pt>
                <c:pt idx="3">
                  <c:v>9</c:v>
                </c:pt>
              </c:numCache>
            </c:numRef>
          </c:val>
          <c:extLst>
            <c:ext xmlns:c16="http://schemas.microsoft.com/office/drawing/2014/chart" uri="{C3380CC4-5D6E-409C-BE32-E72D297353CC}">
              <c16:uniqueId val="{00000009-F137-4935-B78D-F5F3B28FFF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[harshi_Dashboard.xlsx]Sheet1!PivotTable5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Current</a:t>
            </a:r>
            <a:r>
              <a:rPr lang="en-IN" baseline="0"/>
              <a:t> Stock Vs Reorder Requirement</a:t>
            </a:r>
            <a:endParaRPr lang="en-IN"/>
          </a:p>
        </c:rich>
      </c:tx>
      <c:layout>
        <c:manualLayout>
          <c:xMode val="edge"/>
          <c:yMode val="edge"/>
          <c:x val="0.31564934931436439"/>
          <c:y val="5.0115794349235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736064771564573E-2"/>
          <c:y val="0.1442334414080593"/>
          <c:w val="0.84792951198896749"/>
          <c:h val="0.57735031650455459"/>
        </c:manualLayout>
      </c:layout>
      <c:bar3DChart>
        <c:barDir val="col"/>
        <c:grouping val="clustered"/>
        <c:varyColors val="0"/>
        <c:ser>
          <c:idx val="0"/>
          <c:order val="0"/>
          <c:tx>
            <c:strRef>
              <c:f>Sheet1!$Y$2</c:f>
              <c:strCache>
                <c:ptCount val="1"/>
                <c:pt idx="0">
                  <c:v>Current Stock</c:v>
                </c:pt>
              </c:strCache>
            </c:strRef>
          </c:tx>
          <c:spPr>
            <a:solidFill>
              <a:schemeClr val="accent2">
                <a:shade val="76000"/>
              </a:schemeClr>
            </a:solidFill>
            <a:ln>
              <a:noFill/>
            </a:ln>
            <a:effectLst/>
            <a:sp3d/>
          </c:spPr>
          <c:invertIfNegative val="0"/>
          <c:cat>
            <c:multiLvlStrRef>
              <c:f>Sheet1!$X$3:$X$13</c:f>
              <c:multiLvlStrCache>
                <c:ptCount val="8"/>
                <c:lvl>
                  <c:pt idx="0">
                    <c:v>Appliances</c:v>
                  </c:pt>
                  <c:pt idx="1">
                    <c:v>Electronics</c:v>
                  </c:pt>
                  <c:pt idx="2">
                    <c:v>Furniture</c:v>
                  </c:pt>
                  <c:pt idx="3">
                    <c:v>Office</c:v>
                  </c:pt>
                  <c:pt idx="4">
                    <c:v>Appliances</c:v>
                  </c:pt>
                  <c:pt idx="5">
                    <c:v>Electronics</c:v>
                  </c:pt>
                  <c:pt idx="6">
                    <c:v>Furniture</c:v>
                  </c:pt>
                  <c:pt idx="7">
                    <c:v>Office</c:v>
                  </c:pt>
                </c:lvl>
                <c:lvl>
                  <c:pt idx="0">
                    <c:v>Ok</c:v>
                  </c:pt>
                  <c:pt idx="4">
                    <c:v>Reorder</c:v>
                  </c:pt>
                </c:lvl>
              </c:multiLvlStrCache>
            </c:multiLvlStrRef>
          </c:cat>
          <c:val>
            <c:numRef>
              <c:f>Sheet1!$Y$3:$Y$13</c:f>
              <c:numCache>
                <c:formatCode>General</c:formatCode>
                <c:ptCount val="8"/>
                <c:pt idx="0">
                  <c:v>30</c:v>
                </c:pt>
                <c:pt idx="1">
                  <c:v>80</c:v>
                </c:pt>
                <c:pt idx="2">
                  <c:v>20</c:v>
                </c:pt>
                <c:pt idx="3">
                  <c:v>3</c:v>
                </c:pt>
                <c:pt idx="4">
                  <c:v>30</c:v>
                </c:pt>
                <c:pt idx="5">
                  <c:v>85</c:v>
                </c:pt>
                <c:pt idx="6">
                  <c:v>37</c:v>
                </c:pt>
                <c:pt idx="7">
                  <c:v>6</c:v>
                </c:pt>
              </c:numCache>
            </c:numRef>
          </c:val>
          <c:extLst>
            <c:ext xmlns:c16="http://schemas.microsoft.com/office/drawing/2014/chart" uri="{C3380CC4-5D6E-409C-BE32-E72D297353CC}">
              <c16:uniqueId val="{00000002-1D51-41D1-A090-9A23F280ECA5}"/>
            </c:ext>
          </c:extLst>
        </c:ser>
        <c:ser>
          <c:idx val="1"/>
          <c:order val="1"/>
          <c:tx>
            <c:strRef>
              <c:f>Sheet1!$Z$2</c:f>
              <c:strCache>
                <c:ptCount val="1"/>
                <c:pt idx="0">
                  <c:v>Reorder Level</c:v>
                </c:pt>
              </c:strCache>
            </c:strRef>
          </c:tx>
          <c:spPr>
            <a:solidFill>
              <a:schemeClr val="accent2">
                <a:tint val="77000"/>
              </a:schemeClr>
            </a:solidFill>
            <a:ln>
              <a:noFill/>
            </a:ln>
            <a:effectLst/>
            <a:sp3d/>
          </c:spPr>
          <c:invertIfNegative val="0"/>
          <c:cat>
            <c:multiLvlStrRef>
              <c:f>Sheet1!$X$3:$X$13</c:f>
              <c:multiLvlStrCache>
                <c:ptCount val="8"/>
                <c:lvl>
                  <c:pt idx="0">
                    <c:v>Appliances</c:v>
                  </c:pt>
                  <c:pt idx="1">
                    <c:v>Electronics</c:v>
                  </c:pt>
                  <c:pt idx="2">
                    <c:v>Furniture</c:v>
                  </c:pt>
                  <c:pt idx="3">
                    <c:v>Office</c:v>
                  </c:pt>
                  <c:pt idx="4">
                    <c:v>Appliances</c:v>
                  </c:pt>
                  <c:pt idx="5">
                    <c:v>Electronics</c:v>
                  </c:pt>
                  <c:pt idx="6">
                    <c:v>Furniture</c:v>
                  </c:pt>
                  <c:pt idx="7">
                    <c:v>Office</c:v>
                  </c:pt>
                </c:lvl>
                <c:lvl>
                  <c:pt idx="0">
                    <c:v>Ok</c:v>
                  </c:pt>
                  <c:pt idx="4">
                    <c:v>Reorder</c:v>
                  </c:pt>
                </c:lvl>
              </c:multiLvlStrCache>
            </c:multiLvlStrRef>
          </c:cat>
          <c:val>
            <c:numRef>
              <c:f>Sheet1!$Z$3:$Z$13</c:f>
              <c:numCache>
                <c:formatCode>General</c:formatCode>
                <c:ptCount val="8"/>
                <c:pt idx="0">
                  <c:v>47</c:v>
                </c:pt>
                <c:pt idx="1">
                  <c:v>90</c:v>
                </c:pt>
                <c:pt idx="2">
                  <c:v>52</c:v>
                </c:pt>
                <c:pt idx="3">
                  <c:v>15</c:v>
                </c:pt>
                <c:pt idx="4">
                  <c:v>10</c:v>
                </c:pt>
                <c:pt idx="5">
                  <c:v>25</c:v>
                </c:pt>
                <c:pt idx="6">
                  <c:v>25</c:v>
                </c:pt>
                <c:pt idx="7">
                  <c:v>4</c:v>
                </c:pt>
              </c:numCache>
            </c:numRef>
          </c:val>
          <c:extLst>
            <c:ext xmlns:c16="http://schemas.microsoft.com/office/drawing/2014/chart" uri="{C3380CC4-5D6E-409C-BE32-E72D297353CC}">
              <c16:uniqueId val="{00000003-1D51-41D1-A090-9A23F280ECA5}"/>
            </c:ext>
          </c:extLst>
        </c:ser>
        <c:dLbls>
          <c:showLegendKey val="0"/>
          <c:showVal val="0"/>
          <c:showCatName val="0"/>
          <c:showSerName val="0"/>
          <c:showPercent val="0"/>
          <c:showBubbleSize val="0"/>
        </c:dLbls>
        <c:gapWidth val="150"/>
        <c:shape val="box"/>
        <c:axId val="2084384816"/>
        <c:axId val="2084382896"/>
        <c:axId val="0"/>
      </c:bar3DChart>
      <c:catAx>
        <c:axId val="208438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82896"/>
        <c:crosses val="autoZero"/>
        <c:auto val="1"/>
        <c:lblAlgn val="ctr"/>
        <c:lblOffset val="100"/>
        <c:noMultiLvlLbl val="0"/>
      </c:catAx>
      <c:valAx>
        <c:axId val="208438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[harshi_Dashboard.xlsx]Sheet1!PivotTable9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Dead</a:t>
            </a:r>
            <a:r>
              <a:rPr lang="en-US" baseline="0"/>
              <a:t> Stock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Sheet1!$X$49:$X$53</c:f>
              <c:strCache>
                <c:ptCount val="4"/>
                <c:pt idx="0">
                  <c:v>Appliances</c:v>
                </c:pt>
                <c:pt idx="1">
                  <c:v>Electronics</c:v>
                </c:pt>
                <c:pt idx="2">
                  <c:v>Furniture</c:v>
                </c:pt>
                <c:pt idx="3">
                  <c:v>Office</c:v>
                </c:pt>
              </c:strCache>
            </c:strRef>
          </c:cat>
          <c:val>
            <c:numRef>
              <c:f>Sheet1!$Y$49:$Y$53</c:f>
              <c:numCache>
                <c:formatCode>General</c:formatCode>
                <c:ptCount val="4"/>
                <c:pt idx="0">
                  <c:v>60</c:v>
                </c:pt>
                <c:pt idx="1">
                  <c:v>165</c:v>
                </c:pt>
                <c:pt idx="2">
                  <c:v>57</c:v>
                </c:pt>
                <c:pt idx="3">
                  <c:v>9</c:v>
                </c:pt>
              </c:numCache>
            </c:numRef>
          </c:val>
          <c:extLst>
            <c:ext xmlns:c16="http://schemas.microsoft.com/office/drawing/2014/chart" uri="{C3380CC4-5D6E-409C-BE32-E72D297353CC}">
              <c16:uniqueId val="{00000001-AE77-4597-8B8A-8F73EB489404}"/>
            </c:ext>
          </c:extLst>
        </c:ser>
        <c:dLbls>
          <c:dLblPos val="outEnd"/>
          <c:showLegendKey val="0"/>
          <c:showVal val="1"/>
          <c:showCatName val="0"/>
          <c:showSerName val="0"/>
          <c:showPercent val="0"/>
          <c:showBubbleSize val="0"/>
        </c:dLbls>
        <c:gapWidth val="219"/>
        <c:overlap val="-27"/>
        <c:axId val="2039584816"/>
        <c:axId val="2039585296"/>
      </c:barChart>
      <c:catAx>
        <c:axId val="20395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85296"/>
        <c:crosses val="autoZero"/>
        <c:auto val="1"/>
        <c:lblAlgn val="ctr"/>
        <c:lblOffset val="100"/>
        <c:noMultiLvlLbl val="0"/>
      </c:catAx>
      <c:valAx>
        <c:axId val="2039585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Forecast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Sheet1!$AP$1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Sheet1!$AO$2:$AO$5</c:f>
              <c:strCache>
                <c:ptCount val="3"/>
                <c:pt idx="0">
                  <c:v>Jan</c:v>
                </c:pt>
                <c:pt idx="1">
                  <c:v>Feb</c:v>
                </c:pt>
                <c:pt idx="2">
                  <c:v>Mar</c:v>
                </c:pt>
              </c:strCache>
            </c:strRef>
          </c:cat>
          <c:val>
            <c:numRef>
              <c:f>Sheet1!$AP$2:$AP$5</c:f>
              <c:numCache>
                <c:formatCode>General</c:formatCode>
                <c:ptCount val="3"/>
                <c:pt idx="0">
                  <c:v>21100</c:v>
                </c:pt>
                <c:pt idx="1">
                  <c:v>26100</c:v>
                </c:pt>
                <c:pt idx="2">
                  <c:v>16100</c:v>
                </c:pt>
              </c:numCache>
            </c:numRef>
          </c:val>
          <c:smooth val="0"/>
          <c:extLst>
            <c:ext xmlns:c16="http://schemas.microsoft.com/office/drawing/2014/chart" uri="{C3380CC4-5D6E-409C-BE32-E72D297353CC}">
              <c16:uniqueId val="{00000005-089C-43D0-A910-F351AA7F683D}"/>
            </c:ext>
          </c:extLst>
        </c:ser>
        <c:dLbls>
          <c:dLblPos val="t"/>
          <c:showLegendKey val="0"/>
          <c:showVal val="1"/>
          <c:showCatName val="0"/>
          <c:showSerName val="0"/>
          <c:showPercent val="0"/>
          <c:showBubbleSize val="0"/>
        </c:dLbls>
        <c:marker val="1"/>
        <c:smooth val="0"/>
        <c:axId val="2027017344"/>
        <c:axId val="2077164768"/>
      </c:lineChart>
      <c:catAx>
        <c:axId val="20270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4768"/>
        <c:crosses val="autoZero"/>
        <c:auto val="1"/>
        <c:lblAlgn val="ctr"/>
        <c:lblOffset val="100"/>
        <c:noMultiLvlLbl val="0"/>
      </c:catAx>
      <c:valAx>
        <c:axId val="207716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01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[harshi_Dashboard.xlsx]Sheet1!PivotTable11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a:t>
            </a:r>
            <a:r>
              <a:rPr lang="en-US" baseline="0"/>
              <a:t> 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70345909641309E-2"/>
          <c:y val="0.26328490546073435"/>
          <c:w val="0.73050153105861759"/>
          <c:h val="0.53811424613589964"/>
        </c:manualLayout>
      </c:layout>
      <c:barChart>
        <c:barDir val="col"/>
        <c:grouping val="clustered"/>
        <c:varyColors val="0"/>
        <c:ser>
          <c:idx val="0"/>
          <c:order val="0"/>
          <c:tx>
            <c:strRef>
              <c:f>Sheet1!$AP$17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forward val="3"/>
            <c:dispRSqr val="0"/>
            <c:dispEq val="0"/>
          </c:trendline>
          <c:cat>
            <c:strRef>
              <c:f>Sheet1!$AO$18:$AO$22</c:f>
              <c:strCache>
                <c:ptCount val="4"/>
                <c:pt idx="0">
                  <c:v>Appliances</c:v>
                </c:pt>
                <c:pt idx="1">
                  <c:v>Electronics</c:v>
                </c:pt>
                <c:pt idx="2">
                  <c:v>Furniture</c:v>
                </c:pt>
                <c:pt idx="3">
                  <c:v>Office</c:v>
                </c:pt>
              </c:strCache>
            </c:strRef>
          </c:cat>
          <c:val>
            <c:numRef>
              <c:f>Sheet1!$AP$18:$AP$22</c:f>
              <c:numCache>
                <c:formatCode>General</c:formatCode>
                <c:ptCount val="4"/>
                <c:pt idx="0">
                  <c:v>16</c:v>
                </c:pt>
                <c:pt idx="1">
                  <c:v>30</c:v>
                </c:pt>
                <c:pt idx="2">
                  <c:v>26</c:v>
                </c:pt>
                <c:pt idx="3">
                  <c:v>13</c:v>
                </c:pt>
              </c:numCache>
            </c:numRef>
          </c:val>
          <c:extLst>
            <c:ext xmlns:c16="http://schemas.microsoft.com/office/drawing/2014/chart" uri="{C3380CC4-5D6E-409C-BE32-E72D297353CC}">
              <c16:uniqueId val="{00000001-F0D6-4ECC-97F2-79BCF6FB6525}"/>
            </c:ext>
          </c:extLst>
        </c:ser>
        <c:dLbls>
          <c:dLblPos val="outEnd"/>
          <c:showLegendKey val="0"/>
          <c:showVal val="1"/>
          <c:showCatName val="0"/>
          <c:showSerName val="0"/>
          <c:showPercent val="0"/>
          <c:showBubbleSize val="0"/>
        </c:dLbls>
        <c:gapWidth val="219"/>
        <c:overlap val="-27"/>
        <c:axId val="703856927"/>
        <c:axId val="703855967"/>
      </c:barChart>
      <c:catAx>
        <c:axId val="7038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5967"/>
        <c:crosses val="autoZero"/>
        <c:auto val="1"/>
        <c:lblAlgn val="ctr"/>
        <c:lblOffset val="100"/>
        <c:noMultiLvlLbl val="0"/>
      </c:catAx>
      <c:valAx>
        <c:axId val="70385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Sheet5!A1"/><Relationship Id="rId2" Type="http://schemas.openxmlformats.org/officeDocument/2006/relationships/hyperlink" Target="#Sheet4!A1"/><Relationship Id="rId1" Type="http://schemas.openxmlformats.org/officeDocument/2006/relationships/hyperlink" Target="#Sheet2!A1"/><Relationship Id="rId4" Type="http://schemas.openxmlformats.org/officeDocument/2006/relationships/hyperlink" Target="#Sheet6!A1"/></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91440</xdr:colOff>
      <xdr:row>1</xdr:row>
      <xdr:rowOff>53340</xdr:rowOff>
    </xdr:from>
    <xdr:to>
      <xdr:col>10</xdr:col>
      <xdr:colOff>396240</xdr:colOff>
      <xdr:row>16</xdr:row>
      <xdr:rowOff>53340</xdr:rowOff>
    </xdr:to>
    <xdr:graphicFrame macro="">
      <xdr:nvGraphicFramePr>
        <xdr:cNvPr id="4" name="Chart 3">
          <a:extLst>
            <a:ext uri="{FF2B5EF4-FFF2-40B4-BE49-F238E27FC236}">
              <a16:creationId xmlns:a16="http://schemas.microsoft.com/office/drawing/2014/main" id="{244B393F-0F75-CA28-2F46-70107945E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19</xdr:row>
      <xdr:rowOff>80010</xdr:rowOff>
    </xdr:from>
    <xdr:to>
      <xdr:col>11</xdr:col>
      <xdr:colOff>365760</xdr:colOff>
      <xdr:row>34</xdr:row>
      <xdr:rowOff>80010</xdr:rowOff>
    </xdr:to>
    <xdr:graphicFrame macro="">
      <xdr:nvGraphicFramePr>
        <xdr:cNvPr id="5" name="Chart 4">
          <a:extLst>
            <a:ext uri="{FF2B5EF4-FFF2-40B4-BE49-F238E27FC236}">
              <a16:creationId xmlns:a16="http://schemas.microsoft.com/office/drawing/2014/main" id="{6AFF6E5E-6DE3-F5FE-7894-150FB2039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36</xdr:row>
      <xdr:rowOff>34290</xdr:rowOff>
    </xdr:from>
    <xdr:to>
      <xdr:col>11</xdr:col>
      <xdr:colOff>320040</xdr:colOff>
      <xdr:row>51</xdr:row>
      <xdr:rowOff>34290</xdr:rowOff>
    </xdr:to>
    <xdr:graphicFrame macro="">
      <xdr:nvGraphicFramePr>
        <xdr:cNvPr id="6" name="Chart 5">
          <a:extLst>
            <a:ext uri="{FF2B5EF4-FFF2-40B4-BE49-F238E27FC236}">
              <a16:creationId xmlns:a16="http://schemas.microsoft.com/office/drawing/2014/main" id="{2427CB88-57C4-3AD0-7CE1-9441ECA73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266700</xdr:colOff>
      <xdr:row>0</xdr:row>
      <xdr:rowOff>0</xdr:rowOff>
    </xdr:from>
    <xdr:to>
      <xdr:col>21</xdr:col>
      <xdr:colOff>571500</xdr:colOff>
      <xdr:row>15</xdr:row>
      <xdr:rowOff>0</xdr:rowOff>
    </xdr:to>
    <xdr:graphicFrame macro="">
      <xdr:nvGraphicFramePr>
        <xdr:cNvPr id="2" name="Chart 1">
          <a:extLst>
            <a:ext uri="{FF2B5EF4-FFF2-40B4-BE49-F238E27FC236}">
              <a16:creationId xmlns:a16="http://schemas.microsoft.com/office/drawing/2014/main" id="{6BD2311E-20C7-211D-8ACE-F6B36BF11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160020</xdr:colOff>
      <xdr:row>16</xdr:row>
      <xdr:rowOff>41910</xdr:rowOff>
    </xdr:from>
    <xdr:to>
      <xdr:col>21</xdr:col>
      <xdr:colOff>350520</xdr:colOff>
      <xdr:row>31</xdr:row>
      <xdr:rowOff>41910</xdr:rowOff>
    </xdr:to>
    <xdr:graphicFrame macro="">
      <xdr:nvGraphicFramePr>
        <xdr:cNvPr id="3" name="Chart 2">
          <a:extLst>
            <a:ext uri="{FF2B5EF4-FFF2-40B4-BE49-F238E27FC236}">
              <a16:creationId xmlns:a16="http://schemas.microsoft.com/office/drawing/2014/main" id="{8716F8E9-ED01-E1F5-9DF7-29B9E0B4C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xdr:colOff>
      <xdr:row>37</xdr:row>
      <xdr:rowOff>64770</xdr:rowOff>
    </xdr:from>
    <xdr:to>
      <xdr:col>20</xdr:col>
      <xdr:colOff>312420</xdr:colOff>
      <xdr:row>52</xdr:row>
      <xdr:rowOff>64770</xdr:rowOff>
    </xdr:to>
    <xdr:graphicFrame macro="">
      <xdr:nvGraphicFramePr>
        <xdr:cNvPr id="7" name="Chart 6">
          <a:extLst>
            <a:ext uri="{FF2B5EF4-FFF2-40B4-BE49-F238E27FC236}">
              <a16:creationId xmlns:a16="http://schemas.microsoft.com/office/drawing/2014/main" id="{E3F74938-8767-8A15-2C83-E16CCE47E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9</xdr:row>
      <xdr:rowOff>110490</xdr:rowOff>
    </xdr:from>
    <xdr:to>
      <xdr:col>32</xdr:col>
      <xdr:colOff>0</xdr:colOff>
      <xdr:row>24</xdr:row>
      <xdr:rowOff>110490</xdr:rowOff>
    </xdr:to>
    <xdr:graphicFrame macro="">
      <xdr:nvGraphicFramePr>
        <xdr:cNvPr id="12" name="Chart 11">
          <a:extLst>
            <a:ext uri="{FF2B5EF4-FFF2-40B4-BE49-F238E27FC236}">
              <a16:creationId xmlns:a16="http://schemas.microsoft.com/office/drawing/2014/main" id="{8BC11919-AB41-BD40-4579-974D59B32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422133</xdr:colOff>
      <xdr:row>41</xdr:row>
      <xdr:rowOff>55199</xdr:rowOff>
    </xdr:from>
    <xdr:to>
      <xdr:col>37</xdr:col>
      <xdr:colOff>7898</xdr:colOff>
      <xdr:row>56</xdr:row>
      <xdr:rowOff>67337</xdr:rowOff>
    </xdr:to>
    <xdr:graphicFrame macro="">
      <xdr:nvGraphicFramePr>
        <xdr:cNvPr id="14" name="Chart 13">
          <a:extLst>
            <a:ext uri="{FF2B5EF4-FFF2-40B4-BE49-F238E27FC236}">
              <a16:creationId xmlns:a16="http://schemas.microsoft.com/office/drawing/2014/main" id="{867A8FBE-7D52-39FC-A78A-3A142BB6E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445062</xdr:colOff>
      <xdr:row>24</xdr:row>
      <xdr:rowOff>47878</xdr:rowOff>
    </xdr:from>
    <xdr:to>
      <xdr:col>39</xdr:col>
      <xdr:colOff>67434</xdr:colOff>
      <xdr:row>39</xdr:row>
      <xdr:rowOff>60016</xdr:rowOff>
    </xdr:to>
    <xdr:graphicFrame macro="">
      <xdr:nvGraphicFramePr>
        <xdr:cNvPr id="15" name="Chart 14">
          <a:extLst>
            <a:ext uri="{FF2B5EF4-FFF2-40B4-BE49-F238E27FC236}">
              <a16:creationId xmlns:a16="http://schemas.microsoft.com/office/drawing/2014/main" id="{C0652972-3639-F41E-360C-F0CD529A7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107896</xdr:colOff>
      <xdr:row>0</xdr:row>
      <xdr:rowOff>0</xdr:rowOff>
    </xdr:from>
    <xdr:to>
      <xdr:col>49</xdr:col>
      <xdr:colOff>431577</xdr:colOff>
      <xdr:row>15</xdr:row>
      <xdr:rowOff>12138</xdr:rowOff>
    </xdr:to>
    <xdr:graphicFrame macro="">
      <xdr:nvGraphicFramePr>
        <xdr:cNvPr id="16" name="Chart 15">
          <a:extLst>
            <a:ext uri="{FF2B5EF4-FFF2-40B4-BE49-F238E27FC236}">
              <a16:creationId xmlns:a16="http://schemas.microsoft.com/office/drawing/2014/main" id="{59535005-688F-D732-775D-A195E72A6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242762</xdr:colOff>
      <xdr:row>15</xdr:row>
      <xdr:rowOff>149028</xdr:rowOff>
    </xdr:from>
    <xdr:to>
      <xdr:col>49</xdr:col>
      <xdr:colOff>566443</xdr:colOff>
      <xdr:row>30</xdr:row>
      <xdr:rowOff>161166</xdr:rowOff>
    </xdr:to>
    <xdr:graphicFrame macro="">
      <xdr:nvGraphicFramePr>
        <xdr:cNvPr id="17" name="Chart 16">
          <a:extLst>
            <a:ext uri="{FF2B5EF4-FFF2-40B4-BE49-F238E27FC236}">
              <a16:creationId xmlns:a16="http://schemas.microsoft.com/office/drawing/2014/main" id="{5802C962-1438-7407-8ADC-DC3E11D26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434340</xdr:colOff>
      <xdr:row>1</xdr:row>
      <xdr:rowOff>68580</xdr:rowOff>
    </xdr:from>
    <xdr:to>
      <xdr:col>16</xdr:col>
      <xdr:colOff>320040</xdr:colOff>
      <xdr:row>4</xdr:row>
      <xdr:rowOff>38100</xdr:rowOff>
    </xdr:to>
    <xdr:sp macro="" textlink="">
      <xdr:nvSpPr>
        <xdr:cNvPr id="2" name="Rectangle: Rounded Corners 1">
          <a:extLst>
            <a:ext uri="{FF2B5EF4-FFF2-40B4-BE49-F238E27FC236}">
              <a16:creationId xmlns:a16="http://schemas.microsoft.com/office/drawing/2014/main" id="{23A4C4D9-98B5-D344-0A12-E7185FB0BDBA}"/>
            </a:ext>
          </a:extLst>
        </xdr:cNvPr>
        <xdr:cNvSpPr/>
      </xdr:nvSpPr>
      <xdr:spPr>
        <a:xfrm>
          <a:off x="1043940" y="251460"/>
          <a:ext cx="9075420" cy="5181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2"/>
              </a:solidFill>
            </a:rPr>
            <a:t>EXECUTIVE</a:t>
          </a:r>
          <a:r>
            <a:rPr lang="en-IN" sz="3200" b="1" baseline="0">
              <a:solidFill>
                <a:schemeClr val="tx2"/>
              </a:solidFill>
            </a:rPr>
            <a:t> DASHBOARD</a:t>
          </a:r>
          <a:endParaRPr lang="en-IN" sz="3200" b="1">
            <a:solidFill>
              <a:schemeClr val="tx2"/>
            </a:solidFill>
          </a:endParaRPr>
        </a:p>
      </xdr:txBody>
    </xdr:sp>
    <xdr:clientData/>
  </xdr:twoCellAnchor>
  <xdr:twoCellAnchor>
    <xdr:from>
      <xdr:col>1</xdr:col>
      <xdr:colOff>579120</xdr:colOff>
      <xdr:row>7</xdr:row>
      <xdr:rowOff>38100</xdr:rowOff>
    </xdr:from>
    <xdr:to>
      <xdr:col>5</xdr:col>
      <xdr:colOff>403860</xdr:colOff>
      <xdr:row>13</xdr:row>
      <xdr:rowOff>68580</xdr:rowOff>
    </xdr:to>
    <xdr:sp macro="" textlink="">
      <xdr:nvSpPr>
        <xdr:cNvPr id="3" name="Rectangle: Rounded Corners 2">
          <a:extLst>
            <a:ext uri="{FF2B5EF4-FFF2-40B4-BE49-F238E27FC236}">
              <a16:creationId xmlns:a16="http://schemas.microsoft.com/office/drawing/2014/main" id="{56E19202-689B-FE6F-057D-56A11C380E99}"/>
            </a:ext>
          </a:extLst>
        </xdr:cNvPr>
        <xdr:cNvSpPr/>
      </xdr:nvSpPr>
      <xdr:spPr>
        <a:xfrm>
          <a:off x="1188720" y="1318260"/>
          <a:ext cx="2308860" cy="1722120"/>
        </a:xfrm>
        <a:prstGeom prst="roundRect">
          <a:avLst/>
        </a:prstGeom>
        <a:noFill/>
        <a:effectLst>
          <a:outerShdw blurRad="50800" dist="50800" dir="5400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xdr:col>
      <xdr:colOff>518160</xdr:colOff>
      <xdr:row>16</xdr:row>
      <xdr:rowOff>38100</xdr:rowOff>
    </xdr:from>
    <xdr:to>
      <xdr:col>6</xdr:col>
      <xdr:colOff>289560</xdr:colOff>
      <xdr:row>24</xdr:row>
      <xdr:rowOff>0</xdr:rowOff>
    </xdr:to>
    <xdr:sp macro="" textlink="">
      <xdr:nvSpPr>
        <xdr:cNvPr id="5" name="Rectangle: Rounded Corners 4">
          <a:extLst>
            <a:ext uri="{FF2B5EF4-FFF2-40B4-BE49-F238E27FC236}">
              <a16:creationId xmlns:a16="http://schemas.microsoft.com/office/drawing/2014/main" id="{F244028C-B8C0-4435-8FFD-E8DDA2E93171}"/>
            </a:ext>
          </a:extLst>
        </xdr:cNvPr>
        <xdr:cNvSpPr/>
      </xdr:nvSpPr>
      <xdr:spPr>
        <a:xfrm>
          <a:off x="1127760" y="3558540"/>
          <a:ext cx="2865120" cy="1851660"/>
        </a:xfrm>
        <a:prstGeom prst="roundRect">
          <a:avLst/>
        </a:prstGeom>
        <a:noFill/>
        <a:effectLst>
          <a:outerShdw blurRad="50800" dist="50800" dir="5400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297180</xdr:colOff>
      <xdr:row>15</xdr:row>
      <xdr:rowOff>137160</xdr:rowOff>
    </xdr:from>
    <xdr:to>
      <xdr:col>16</xdr:col>
      <xdr:colOff>365760</xdr:colOff>
      <xdr:row>23</xdr:row>
      <xdr:rowOff>99060</xdr:rowOff>
    </xdr:to>
    <xdr:sp macro="" textlink="">
      <xdr:nvSpPr>
        <xdr:cNvPr id="6" name="Rectangle: Rounded Corners 5">
          <a:extLst>
            <a:ext uri="{FF2B5EF4-FFF2-40B4-BE49-F238E27FC236}">
              <a16:creationId xmlns:a16="http://schemas.microsoft.com/office/drawing/2014/main" id="{A01DBCF2-8FAB-4E9C-81A3-D0B8562F0FDB}"/>
            </a:ext>
          </a:extLst>
        </xdr:cNvPr>
        <xdr:cNvSpPr/>
      </xdr:nvSpPr>
      <xdr:spPr>
        <a:xfrm>
          <a:off x="7048500" y="3474720"/>
          <a:ext cx="3116580" cy="1851660"/>
        </a:xfrm>
        <a:prstGeom prst="roundRect">
          <a:avLst/>
        </a:prstGeom>
        <a:noFill/>
        <a:effectLst>
          <a:outerShdw blurRad="50800" dist="50800" dir="5400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586740</xdr:colOff>
      <xdr:row>6</xdr:row>
      <xdr:rowOff>175260</xdr:rowOff>
    </xdr:from>
    <xdr:to>
      <xdr:col>10</xdr:col>
      <xdr:colOff>457200</xdr:colOff>
      <xdr:row>11</xdr:row>
      <xdr:rowOff>53340</xdr:rowOff>
    </xdr:to>
    <xdr:sp macro="" textlink="">
      <xdr:nvSpPr>
        <xdr:cNvPr id="12" name="Rectangle: Rounded Corners 11">
          <a:extLst>
            <a:ext uri="{FF2B5EF4-FFF2-40B4-BE49-F238E27FC236}">
              <a16:creationId xmlns:a16="http://schemas.microsoft.com/office/drawing/2014/main" id="{BEB24FCB-750F-4BAE-831A-F584CE2D42FB}"/>
            </a:ext>
          </a:extLst>
        </xdr:cNvPr>
        <xdr:cNvSpPr/>
      </xdr:nvSpPr>
      <xdr:spPr>
        <a:xfrm>
          <a:off x="4290060" y="1272540"/>
          <a:ext cx="2308860" cy="1272540"/>
        </a:xfrm>
        <a:prstGeom prst="roundRect">
          <a:avLst/>
        </a:prstGeom>
        <a:noFill/>
        <a:effectLst>
          <a:outerShdw blurRad="50800" dist="50800" dir="5400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12</xdr:col>
      <xdr:colOff>106680</xdr:colOff>
      <xdr:row>5</xdr:row>
      <xdr:rowOff>121920</xdr:rowOff>
    </xdr:from>
    <xdr:to>
      <xdr:col>16</xdr:col>
      <xdr:colOff>53340</xdr:colOff>
      <xdr:row>8</xdr:row>
      <xdr:rowOff>91440</xdr:rowOff>
    </xdr:to>
    <xdr:sp macro="" textlink="">
      <xdr:nvSpPr>
        <xdr:cNvPr id="13" name="Arrow: Right 12">
          <a:hlinkClick xmlns:r="http://schemas.openxmlformats.org/officeDocument/2006/relationships" r:id="rId1"/>
          <a:extLst>
            <a:ext uri="{FF2B5EF4-FFF2-40B4-BE49-F238E27FC236}">
              <a16:creationId xmlns:a16="http://schemas.microsoft.com/office/drawing/2014/main" id="{63C93283-E2B9-4A8D-998B-5E9FBC7B9EE3}"/>
            </a:ext>
          </a:extLst>
        </xdr:cNvPr>
        <xdr:cNvSpPr/>
      </xdr:nvSpPr>
      <xdr:spPr>
        <a:xfrm>
          <a:off x="7467600" y="1036320"/>
          <a:ext cx="2385060" cy="5181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Dashboard</a:t>
          </a:r>
        </a:p>
        <a:p>
          <a:pPr algn="l"/>
          <a:endParaRPr lang="en-IN" sz="1100"/>
        </a:p>
      </xdr:txBody>
    </xdr:sp>
    <xdr:clientData/>
  </xdr:twoCellAnchor>
  <xdr:twoCellAnchor>
    <xdr:from>
      <xdr:col>12</xdr:col>
      <xdr:colOff>121920</xdr:colOff>
      <xdr:row>8</xdr:row>
      <xdr:rowOff>152400</xdr:rowOff>
    </xdr:from>
    <xdr:to>
      <xdr:col>16</xdr:col>
      <xdr:colOff>68580</xdr:colOff>
      <xdr:row>9</xdr:row>
      <xdr:rowOff>281940</xdr:rowOff>
    </xdr:to>
    <xdr:sp macro="" textlink="">
      <xdr:nvSpPr>
        <xdr:cNvPr id="14" name="Arrow: Right 13">
          <a:hlinkClick xmlns:r="http://schemas.openxmlformats.org/officeDocument/2006/relationships" r:id="rId2"/>
          <a:extLst>
            <a:ext uri="{FF2B5EF4-FFF2-40B4-BE49-F238E27FC236}">
              <a16:creationId xmlns:a16="http://schemas.microsoft.com/office/drawing/2014/main" id="{BD77304A-EC97-4CA7-8799-B0A555FD08F8}"/>
            </a:ext>
          </a:extLst>
        </xdr:cNvPr>
        <xdr:cNvSpPr/>
      </xdr:nvSpPr>
      <xdr:spPr>
        <a:xfrm>
          <a:off x="7482840" y="1615440"/>
          <a:ext cx="2385060" cy="4953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Customer Dashboard</a:t>
          </a:r>
        </a:p>
        <a:p>
          <a:pPr algn="l"/>
          <a:endParaRPr lang="en-IN" sz="1100"/>
        </a:p>
      </xdr:txBody>
    </xdr:sp>
    <xdr:clientData/>
  </xdr:twoCellAnchor>
  <xdr:twoCellAnchor>
    <xdr:from>
      <xdr:col>12</xdr:col>
      <xdr:colOff>129540</xdr:colOff>
      <xdr:row>9</xdr:row>
      <xdr:rowOff>320040</xdr:rowOff>
    </xdr:from>
    <xdr:to>
      <xdr:col>16</xdr:col>
      <xdr:colOff>76200</xdr:colOff>
      <xdr:row>11</xdr:row>
      <xdr:rowOff>137160</xdr:rowOff>
    </xdr:to>
    <xdr:sp macro="" textlink="">
      <xdr:nvSpPr>
        <xdr:cNvPr id="15" name="Arrow: Right 14">
          <a:hlinkClick xmlns:r="http://schemas.openxmlformats.org/officeDocument/2006/relationships" r:id="rId3"/>
          <a:extLst>
            <a:ext uri="{FF2B5EF4-FFF2-40B4-BE49-F238E27FC236}">
              <a16:creationId xmlns:a16="http://schemas.microsoft.com/office/drawing/2014/main" id="{D3E5E7B1-EA7A-48C8-8E79-84ADF1BB9D42}"/>
            </a:ext>
          </a:extLst>
        </xdr:cNvPr>
        <xdr:cNvSpPr/>
      </xdr:nvSpPr>
      <xdr:spPr>
        <a:xfrm>
          <a:off x="7490460" y="2148840"/>
          <a:ext cx="2385060" cy="4800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Inventory Dashboard</a:t>
          </a:r>
        </a:p>
      </xdr:txBody>
    </xdr:sp>
    <xdr:clientData/>
  </xdr:twoCellAnchor>
  <xdr:twoCellAnchor>
    <xdr:from>
      <xdr:col>12</xdr:col>
      <xdr:colOff>152400</xdr:colOff>
      <xdr:row>11</xdr:row>
      <xdr:rowOff>220980</xdr:rowOff>
    </xdr:from>
    <xdr:to>
      <xdr:col>16</xdr:col>
      <xdr:colOff>99060</xdr:colOff>
      <xdr:row>14</xdr:row>
      <xdr:rowOff>60960</xdr:rowOff>
    </xdr:to>
    <xdr:sp macro="" textlink="">
      <xdr:nvSpPr>
        <xdr:cNvPr id="16" name="Arrow: Right 15">
          <a:hlinkClick xmlns:r="http://schemas.openxmlformats.org/officeDocument/2006/relationships" r:id="rId4"/>
          <a:extLst>
            <a:ext uri="{FF2B5EF4-FFF2-40B4-BE49-F238E27FC236}">
              <a16:creationId xmlns:a16="http://schemas.microsoft.com/office/drawing/2014/main" id="{75C717A9-AE3A-4D8B-9F58-87CAF26D6FFE}"/>
            </a:ext>
          </a:extLst>
        </xdr:cNvPr>
        <xdr:cNvSpPr/>
      </xdr:nvSpPr>
      <xdr:spPr>
        <a:xfrm>
          <a:off x="7513320" y="2712720"/>
          <a:ext cx="2385060" cy="5029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Forecast Dashboard</a:t>
          </a:r>
        </a:p>
        <a:p>
          <a:pPr algn="l"/>
          <a:endParaRPr lang="en-IN" sz="1100"/>
        </a:p>
      </xdr:txBody>
    </xdr:sp>
    <xdr:clientData/>
  </xdr:twoCellAnchor>
  <xdr:twoCellAnchor editAs="oneCell">
    <xdr:from>
      <xdr:col>7</xdr:col>
      <xdr:colOff>76200</xdr:colOff>
      <xdr:row>19</xdr:row>
      <xdr:rowOff>167641</xdr:rowOff>
    </xdr:from>
    <xdr:to>
      <xdr:col>10</xdr:col>
      <xdr:colOff>76200</xdr:colOff>
      <xdr:row>26</xdr:row>
      <xdr:rowOff>30481</xdr:rowOff>
    </xdr:to>
    <mc:AlternateContent xmlns:mc="http://schemas.openxmlformats.org/markup-compatibility/2006" xmlns:a14="http://schemas.microsoft.com/office/drawing/2010/main">
      <mc:Choice Requires="a14">
        <xdr:graphicFrame macro="">
          <xdr:nvGraphicFramePr>
            <xdr:cNvPr id="17" name="Date (Month) 3">
              <a:extLst>
                <a:ext uri="{FF2B5EF4-FFF2-40B4-BE49-F238E27FC236}">
                  <a16:creationId xmlns:a16="http://schemas.microsoft.com/office/drawing/2014/main" id="{13A2D5E4-18E0-6AC5-7974-0B1CD32AD2BC}"/>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mlns="">
        <xdr:sp macro="" textlink="">
          <xdr:nvSpPr>
            <xdr:cNvPr id="0" name=""/>
            <xdr:cNvSpPr>
              <a:spLocks noTextEdit="1"/>
            </xdr:cNvSpPr>
          </xdr:nvSpPr>
          <xdr:spPr>
            <a:xfrm>
              <a:off x="4389120" y="446532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11</xdr:row>
      <xdr:rowOff>144781</xdr:rowOff>
    </xdr:from>
    <xdr:to>
      <xdr:col>10</xdr:col>
      <xdr:colOff>99060</xdr:colOff>
      <xdr:row>19</xdr:row>
      <xdr:rowOff>22861</xdr:rowOff>
    </xdr:to>
    <mc:AlternateContent xmlns:mc="http://schemas.openxmlformats.org/markup-compatibility/2006" xmlns:a14="http://schemas.microsoft.com/office/drawing/2010/main">
      <mc:Choice Requires="a14">
        <xdr:graphicFrame macro="">
          <xdr:nvGraphicFramePr>
            <xdr:cNvPr id="18" name="region 3">
              <a:extLst>
                <a:ext uri="{FF2B5EF4-FFF2-40B4-BE49-F238E27FC236}">
                  <a16:creationId xmlns:a16="http://schemas.microsoft.com/office/drawing/2014/main" id="{11F04A9C-4C5C-C1DF-8ACA-02B762D0A93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411980" y="263652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229518</xdr:colOff>
      <xdr:row>8</xdr:row>
      <xdr:rowOff>91310</xdr:rowOff>
    </xdr:from>
    <xdr:to>
      <xdr:col>17</xdr:col>
      <xdr:colOff>454672</xdr:colOff>
      <xdr:row>25</xdr:row>
      <xdr:rowOff>119349</xdr:rowOff>
    </xdr:to>
    <xdr:sp macro="" textlink="">
      <xdr:nvSpPr>
        <xdr:cNvPr id="7" name="Rectangle 6">
          <a:extLst>
            <a:ext uri="{FF2B5EF4-FFF2-40B4-BE49-F238E27FC236}">
              <a16:creationId xmlns:a16="http://schemas.microsoft.com/office/drawing/2014/main" id="{767C222D-503B-4558-AB0A-C11643F92064}"/>
            </a:ext>
          </a:extLst>
        </xdr:cNvPr>
        <xdr:cNvSpPr/>
      </xdr:nvSpPr>
      <xdr:spPr>
        <a:xfrm>
          <a:off x="6105181" y="1560226"/>
          <a:ext cx="5072575" cy="34432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303764</xdr:colOff>
      <xdr:row>8</xdr:row>
      <xdr:rowOff>215847</xdr:rowOff>
    </xdr:from>
    <xdr:to>
      <xdr:col>17</xdr:col>
      <xdr:colOff>370025</xdr:colOff>
      <xdr:row>24</xdr:row>
      <xdr:rowOff>156472</xdr:rowOff>
    </xdr:to>
    <xdr:graphicFrame macro="">
      <xdr:nvGraphicFramePr>
        <xdr:cNvPr id="8" name="Chart 7">
          <a:extLst>
            <a:ext uri="{FF2B5EF4-FFF2-40B4-BE49-F238E27FC236}">
              <a16:creationId xmlns:a16="http://schemas.microsoft.com/office/drawing/2014/main" id="{98E289DB-942B-4118-984E-59D943F00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462852</xdr:colOff>
      <xdr:row>29</xdr:row>
      <xdr:rowOff>102803</xdr:rowOff>
    </xdr:from>
    <xdr:to>
      <xdr:col>8</xdr:col>
      <xdr:colOff>470647</xdr:colOff>
      <xdr:row>48</xdr:row>
      <xdr:rowOff>44823</xdr:rowOff>
    </xdr:to>
    <xdr:sp macro="" textlink="">
      <xdr:nvSpPr>
        <xdr:cNvPr id="9" name="Rectangle 8">
          <a:extLst>
            <a:ext uri="{FF2B5EF4-FFF2-40B4-BE49-F238E27FC236}">
              <a16:creationId xmlns:a16="http://schemas.microsoft.com/office/drawing/2014/main" id="{BCA9EA7B-D18A-49FD-BD1E-84CB957E25C1}"/>
            </a:ext>
          </a:extLst>
        </xdr:cNvPr>
        <xdr:cNvSpPr/>
      </xdr:nvSpPr>
      <xdr:spPr>
        <a:xfrm>
          <a:off x="462852" y="5593685"/>
          <a:ext cx="5274560" cy="33486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559808</xdr:colOff>
      <xdr:row>30</xdr:row>
      <xdr:rowOff>48724</xdr:rowOff>
    </xdr:from>
    <xdr:to>
      <xdr:col>8</xdr:col>
      <xdr:colOff>327895</xdr:colOff>
      <xdr:row>47</xdr:row>
      <xdr:rowOff>120344</xdr:rowOff>
    </xdr:to>
    <xdr:graphicFrame macro="">
      <xdr:nvGraphicFramePr>
        <xdr:cNvPr id="10" name="Chart 9">
          <a:extLst>
            <a:ext uri="{FF2B5EF4-FFF2-40B4-BE49-F238E27FC236}">
              <a16:creationId xmlns:a16="http://schemas.microsoft.com/office/drawing/2014/main" id="{6CF300C2-6603-4DD8-BA3B-9F06397C7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41411</xdr:colOff>
      <xdr:row>1</xdr:row>
      <xdr:rowOff>140805</xdr:rowOff>
    </xdr:from>
    <xdr:to>
      <xdr:col>16</xdr:col>
      <xdr:colOff>265042</xdr:colOff>
      <xdr:row>5</xdr:row>
      <xdr:rowOff>33131</xdr:rowOff>
    </xdr:to>
    <xdr:sp macro="" textlink="">
      <xdr:nvSpPr>
        <xdr:cNvPr id="11" name="Rectangle 10">
          <a:extLst>
            <a:ext uri="{FF2B5EF4-FFF2-40B4-BE49-F238E27FC236}">
              <a16:creationId xmlns:a16="http://schemas.microsoft.com/office/drawing/2014/main" id="{FE4C1275-2493-D483-0457-30B6D4F63872}"/>
            </a:ext>
          </a:extLst>
        </xdr:cNvPr>
        <xdr:cNvSpPr/>
      </xdr:nvSpPr>
      <xdr:spPr>
        <a:xfrm>
          <a:off x="894520" y="323022"/>
          <a:ext cx="9458739" cy="6211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SALES</a:t>
          </a:r>
          <a:r>
            <a:rPr lang="en-IN" sz="3600" b="1" baseline="0"/>
            <a:t> DASHBOARD</a:t>
          </a:r>
          <a:endParaRPr lang="en-IN" sz="3600" b="1"/>
        </a:p>
      </xdr:txBody>
    </xdr:sp>
    <xdr:clientData/>
  </xdr:twoCellAnchor>
  <xdr:twoCellAnchor editAs="oneCell">
    <xdr:from>
      <xdr:col>10</xdr:col>
      <xdr:colOff>205923</xdr:colOff>
      <xdr:row>30</xdr:row>
      <xdr:rowOff>18180</xdr:rowOff>
    </xdr:from>
    <xdr:to>
      <xdr:col>13</xdr:col>
      <xdr:colOff>195984</xdr:colOff>
      <xdr:row>37</xdr:row>
      <xdr:rowOff>174434</xdr:rowOff>
    </xdr:to>
    <mc:AlternateContent xmlns:mc="http://schemas.openxmlformats.org/markup-compatibility/2006">
      <mc:Choice xmlns:a14="http://schemas.microsoft.com/office/drawing/2010/main" Requires="a14">
        <xdr:graphicFrame macro="">
          <xdr:nvGraphicFramePr>
            <xdr:cNvPr id="12" name="Date (Month)">
              <a:extLst>
                <a:ext uri="{FF2B5EF4-FFF2-40B4-BE49-F238E27FC236}">
                  <a16:creationId xmlns:a16="http://schemas.microsoft.com/office/drawing/2014/main" id="{ABA514FF-600B-59FC-7FC7-0C8B8585003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739668" y="5676435"/>
              <a:ext cx="1838316" cy="1404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491012</xdr:colOff>
      <xdr:row>30</xdr:row>
      <xdr:rowOff>24467</xdr:rowOff>
    </xdr:from>
    <xdr:to>
      <xdr:col>16</xdr:col>
      <xdr:colOff>481072</xdr:colOff>
      <xdr:row>45</xdr:row>
      <xdr:rowOff>36723</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DB61F872-DB6D-E2C6-0AAC-56812A9019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73012" y="5682722"/>
              <a:ext cx="1838315" cy="268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218841</xdr:colOff>
      <xdr:row>39</xdr:row>
      <xdr:rowOff>156920</xdr:rowOff>
    </xdr:from>
    <xdr:to>
      <xdr:col>13</xdr:col>
      <xdr:colOff>208902</xdr:colOff>
      <xdr:row>47</xdr:row>
      <xdr:rowOff>165254</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59BEF7F4-A8D4-1C41-90AB-68195D1697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52586" y="7420239"/>
              <a:ext cx="1838316" cy="143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467591</xdr:colOff>
      <xdr:row>8</xdr:row>
      <xdr:rowOff>86592</xdr:rowOff>
    </xdr:from>
    <xdr:to>
      <xdr:col>8</xdr:col>
      <xdr:colOff>475386</xdr:colOff>
      <xdr:row>25</xdr:row>
      <xdr:rowOff>132521</xdr:rowOff>
    </xdr:to>
    <xdr:sp macro="" textlink="">
      <xdr:nvSpPr>
        <xdr:cNvPr id="2" name="Rectangle 1">
          <a:extLst>
            <a:ext uri="{FF2B5EF4-FFF2-40B4-BE49-F238E27FC236}">
              <a16:creationId xmlns:a16="http://schemas.microsoft.com/office/drawing/2014/main" id="{E2B3CD5B-D3A1-42E1-B937-B8D1F2574B13}"/>
            </a:ext>
          </a:extLst>
        </xdr:cNvPr>
        <xdr:cNvSpPr/>
      </xdr:nvSpPr>
      <xdr:spPr>
        <a:xfrm>
          <a:off x="467591" y="1610592"/>
          <a:ext cx="5289840" cy="3561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578386</xdr:colOff>
      <xdr:row>8</xdr:row>
      <xdr:rowOff>242456</xdr:rowOff>
    </xdr:from>
    <xdr:to>
      <xdr:col>8</xdr:col>
      <xdr:colOff>357657</xdr:colOff>
      <xdr:row>24</xdr:row>
      <xdr:rowOff>159629</xdr:rowOff>
    </xdr:to>
    <xdr:graphicFrame macro="">
      <xdr:nvGraphicFramePr>
        <xdr:cNvPr id="3" name="Chart 2">
          <a:extLst>
            <a:ext uri="{FF2B5EF4-FFF2-40B4-BE49-F238E27FC236}">
              <a16:creationId xmlns:a16="http://schemas.microsoft.com/office/drawing/2014/main" id="{3EE477E4-40B2-4A51-A319-05BE86E31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114300</xdr:colOff>
      <xdr:row>20</xdr:row>
      <xdr:rowOff>76200</xdr:rowOff>
    </xdr:from>
    <xdr:to>
      <xdr:col>17</xdr:col>
      <xdr:colOff>510540</xdr:colOff>
      <xdr:row>35</xdr:row>
      <xdr:rowOff>108857</xdr:rowOff>
    </xdr:to>
    <xdr:graphicFrame macro="">
      <xdr:nvGraphicFramePr>
        <xdr:cNvPr id="2" name="Chart 1">
          <a:extLst>
            <a:ext uri="{FF2B5EF4-FFF2-40B4-BE49-F238E27FC236}">
              <a16:creationId xmlns:a16="http://schemas.microsoft.com/office/drawing/2014/main" id="{91297FF7-1345-4D89-A5D4-5C8C5FBC4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20</xdr:row>
      <xdr:rowOff>99061</xdr:rowOff>
    </xdr:from>
    <xdr:to>
      <xdr:col>9</xdr:col>
      <xdr:colOff>243840</xdr:colOff>
      <xdr:row>35</xdr:row>
      <xdr:rowOff>129540</xdr:rowOff>
    </xdr:to>
    <xdr:graphicFrame macro="">
      <xdr:nvGraphicFramePr>
        <xdr:cNvPr id="3" name="Chart 2">
          <a:extLst>
            <a:ext uri="{FF2B5EF4-FFF2-40B4-BE49-F238E27FC236}">
              <a16:creationId xmlns:a16="http://schemas.microsoft.com/office/drawing/2014/main" id="{56FC62D0-266B-41DE-B510-792791123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68580</xdr:colOff>
      <xdr:row>1</xdr:row>
      <xdr:rowOff>152399</xdr:rowOff>
    </xdr:from>
    <xdr:to>
      <xdr:col>17</xdr:col>
      <xdr:colOff>416923</xdr:colOff>
      <xdr:row>17</xdr:row>
      <xdr:rowOff>137160</xdr:rowOff>
    </xdr:to>
    <xdr:graphicFrame macro="">
      <xdr:nvGraphicFramePr>
        <xdr:cNvPr id="4" name="Chart 3">
          <a:extLst>
            <a:ext uri="{FF2B5EF4-FFF2-40B4-BE49-F238E27FC236}">
              <a16:creationId xmlns:a16="http://schemas.microsoft.com/office/drawing/2014/main" id="{DD79E637-7D74-4305-AEDE-E17D7C75D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274320</xdr:colOff>
      <xdr:row>1</xdr:row>
      <xdr:rowOff>30480</xdr:rowOff>
    </xdr:from>
    <xdr:to>
      <xdr:col>9</xdr:col>
      <xdr:colOff>541020</xdr:colOff>
      <xdr:row>4</xdr:row>
      <xdr:rowOff>38100</xdr:rowOff>
    </xdr:to>
    <xdr:sp macro="" textlink="">
      <xdr:nvSpPr>
        <xdr:cNvPr id="5" name="Rectangle: Rounded Corners 4">
          <a:extLst>
            <a:ext uri="{FF2B5EF4-FFF2-40B4-BE49-F238E27FC236}">
              <a16:creationId xmlns:a16="http://schemas.microsoft.com/office/drawing/2014/main" id="{A49AE755-D63B-652E-08B8-95EA51A4474D}"/>
            </a:ext>
          </a:extLst>
        </xdr:cNvPr>
        <xdr:cNvSpPr/>
      </xdr:nvSpPr>
      <xdr:spPr>
        <a:xfrm>
          <a:off x="274320" y="213360"/>
          <a:ext cx="5753100" cy="5562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rPr>
            <a:t>CUSTOMER</a:t>
          </a:r>
          <a:r>
            <a:rPr lang="en-IN" sz="3200" baseline="0">
              <a:solidFill>
                <a:schemeClr val="tx1"/>
              </a:solidFill>
            </a:rPr>
            <a:t> DASHBOARD</a:t>
          </a:r>
          <a:endParaRPr lang="en-IN" sz="3200">
            <a:solidFill>
              <a:schemeClr val="tx1"/>
            </a:solidFill>
          </a:endParaRPr>
        </a:p>
      </xdr:txBody>
    </xdr:sp>
    <xdr:clientData/>
  </xdr:twoCellAnchor>
  <xdr:twoCellAnchor editAs="oneCell">
    <xdr:from>
      <xdr:col>1</xdr:col>
      <xdr:colOff>563880</xdr:colOff>
      <xdr:row>13</xdr:row>
      <xdr:rowOff>1</xdr:rowOff>
    </xdr:from>
    <xdr:to>
      <xdr:col>4</xdr:col>
      <xdr:colOff>563880</xdr:colOff>
      <xdr:row>19</xdr:row>
      <xdr:rowOff>121921</xdr:rowOff>
    </xdr:to>
    <mc:AlternateContent xmlns:mc="http://schemas.openxmlformats.org/markup-compatibility/2006" xmlns:a14="http://schemas.microsoft.com/office/drawing/2010/main">
      <mc:Choice Requires="a14">
        <xdr:graphicFrame macro="">
          <xdr:nvGraphicFramePr>
            <xdr:cNvPr id="6" name="Date (Month) 1">
              <a:extLst>
                <a:ext uri="{FF2B5EF4-FFF2-40B4-BE49-F238E27FC236}">
                  <a16:creationId xmlns:a16="http://schemas.microsoft.com/office/drawing/2014/main" id="{EB3B4845-F65C-2A4C-4012-D74F664397E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73480" y="237744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243840</xdr:colOff>
      <xdr:row>7</xdr:row>
      <xdr:rowOff>1</xdr:rowOff>
    </xdr:from>
    <xdr:to>
      <xdr:col>8</xdr:col>
      <xdr:colOff>243840</xdr:colOff>
      <xdr:row>17</xdr:row>
      <xdr:rowOff>1</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50C4ABE0-BAD6-B2CE-1C0E-69A0A0F164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91840" y="128016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5</xdr:row>
      <xdr:rowOff>68581</xdr:rowOff>
    </xdr:from>
    <xdr:to>
      <xdr:col>4</xdr:col>
      <xdr:colOff>571500</xdr:colOff>
      <xdr:row>12</xdr:row>
      <xdr:rowOff>38101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6FA21AF7-2B2D-3B51-218C-DA31803C3D3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1100" y="9829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419100</xdr:colOff>
      <xdr:row>5</xdr:row>
      <xdr:rowOff>167640</xdr:rowOff>
    </xdr:from>
    <xdr:to>
      <xdr:col>17</xdr:col>
      <xdr:colOff>472440</xdr:colOff>
      <xdr:row>21</xdr:row>
      <xdr:rowOff>17417</xdr:rowOff>
    </xdr:to>
    <xdr:graphicFrame macro="">
      <xdr:nvGraphicFramePr>
        <xdr:cNvPr id="2" name="Chart 1">
          <a:extLst>
            <a:ext uri="{FF2B5EF4-FFF2-40B4-BE49-F238E27FC236}">
              <a16:creationId xmlns:a16="http://schemas.microsoft.com/office/drawing/2014/main" id="{452FCC27-7DC0-44C4-A536-CFF0CF214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22</xdr:row>
      <xdr:rowOff>152400</xdr:rowOff>
    </xdr:from>
    <xdr:to>
      <xdr:col>14</xdr:col>
      <xdr:colOff>0</xdr:colOff>
      <xdr:row>40</xdr:row>
      <xdr:rowOff>99060</xdr:rowOff>
    </xdr:to>
    <xdr:graphicFrame macro="">
      <xdr:nvGraphicFramePr>
        <xdr:cNvPr id="3" name="Chart 2">
          <a:extLst>
            <a:ext uri="{FF2B5EF4-FFF2-40B4-BE49-F238E27FC236}">
              <a16:creationId xmlns:a16="http://schemas.microsoft.com/office/drawing/2014/main" id="{91DA0729-5BBD-4BDC-964A-EE2C3520D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518160</xdr:colOff>
      <xdr:row>6</xdr:row>
      <xdr:rowOff>60960</xdr:rowOff>
    </xdr:from>
    <xdr:to>
      <xdr:col>7</xdr:col>
      <xdr:colOff>320040</xdr:colOff>
      <xdr:row>21</xdr:row>
      <xdr:rowOff>53339</xdr:rowOff>
    </xdr:to>
    <xdr:graphicFrame macro="">
      <xdr:nvGraphicFramePr>
        <xdr:cNvPr id="4" name="Chart 3">
          <a:extLst>
            <a:ext uri="{FF2B5EF4-FFF2-40B4-BE49-F238E27FC236}">
              <a16:creationId xmlns:a16="http://schemas.microsoft.com/office/drawing/2014/main" id="{BF2F22DC-413D-4A3D-A5DC-F0C62B6DC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45720</xdr:colOff>
      <xdr:row>5</xdr:row>
      <xdr:rowOff>175261</xdr:rowOff>
    </xdr:from>
    <xdr:to>
      <xdr:col>11</xdr:col>
      <xdr:colOff>45720</xdr:colOff>
      <xdr:row>14</xdr:row>
      <xdr:rowOff>22860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9C6746A3-6593-91CA-CDB4-B99B77D276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22520" y="108966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129540</xdr:colOff>
      <xdr:row>1</xdr:row>
      <xdr:rowOff>38100</xdr:rowOff>
    </xdr:from>
    <xdr:to>
      <xdr:col>17</xdr:col>
      <xdr:colOff>167640</xdr:colOff>
      <xdr:row>3</xdr:row>
      <xdr:rowOff>121920</xdr:rowOff>
    </xdr:to>
    <xdr:sp macro="" textlink="">
      <xdr:nvSpPr>
        <xdr:cNvPr id="9" name="Rectangle 8">
          <a:extLst>
            <a:ext uri="{FF2B5EF4-FFF2-40B4-BE49-F238E27FC236}">
              <a16:creationId xmlns:a16="http://schemas.microsoft.com/office/drawing/2014/main" id="{1656579F-D56E-AD17-56B5-2220C9CCB586}"/>
            </a:ext>
          </a:extLst>
        </xdr:cNvPr>
        <xdr:cNvSpPr/>
      </xdr:nvSpPr>
      <xdr:spPr>
        <a:xfrm>
          <a:off x="739140" y="220980"/>
          <a:ext cx="9791700" cy="449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INVENTORY DASHBOARD</a:t>
          </a:r>
        </a:p>
      </xdr:txBody>
    </xdr:sp>
    <xdr:clientData/>
  </xdr:twoCellAnchor>
  <xdr:twoCellAnchor editAs="oneCell">
    <xdr:from>
      <xdr:col>8</xdr:col>
      <xdr:colOff>83820</xdr:colOff>
      <xdr:row>14</xdr:row>
      <xdr:rowOff>175261</xdr:rowOff>
    </xdr:from>
    <xdr:to>
      <xdr:col>11</xdr:col>
      <xdr:colOff>83820</xdr:colOff>
      <xdr:row>20</xdr:row>
      <xdr:rowOff>137161</xdr:rowOff>
    </xdr:to>
    <mc:AlternateContent xmlns:mc="http://schemas.openxmlformats.org/markup-compatibility/2006" xmlns:a14="http://schemas.microsoft.com/office/drawing/2010/main">
      <mc:Choice Requires="a14">
        <xdr:graphicFrame macro="">
          <xdr:nvGraphicFramePr>
            <xdr:cNvPr id="11" name="Reorder status">
              <a:extLst>
                <a:ext uri="{FF2B5EF4-FFF2-40B4-BE49-F238E27FC236}">
                  <a16:creationId xmlns:a16="http://schemas.microsoft.com/office/drawing/2014/main" id="{8F9A9CCD-58BC-76A8-635B-BA7B36606827}"/>
                </a:ext>
              </a:extLst>
            </xdr:cNvPr>
            <xdr:cNvGraphicFramePr/>
          </xdr:nvGraphicFramePr>
          <xdr:xfrm>
            <a:off x="0" y="0"/>
            <a:ext cx="0" cy="0"/>
          </xdr:xfrm>
          <a:graphic>
            <a:graphicData uri="http://schemas.microsoft.com/office/drawing/2010/slicer">
              <sle:slicer xmlns:sle="http://schemas.microsoft.com/office/drawing/2010/slicer" name="Reorder status"/>
            </a:graphicData>
          </a:graphic>
        </xdr:graphicFrame>
      </mc:Choice>
      <mc:Fallback xmlns="">
        <xdr:sp macro="" textlink="">
          <xdr:nvSpPr>
            <xdr:cNvPr id="0" name=""/>
            <xdr:cNvSpPr>
              <a:spLocks noTextEdit="1"/>
            </xdr:cNvSpPr>
          </xdr:nvSpPr>
          <xdr:spPr>
            <a:xfrm>
              <a:off x="4960620" y="273558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0</xdr:rowOff>
    </xdr:from>
    <xdr:to>
      <xdr:col>9</xdr:col>
      <xdr:colOff>22860</xdr:colOff>
      <xdr:row>24</xdr:row>
      <xdr:rowOff>83820</xdr:rowOff>
    </xdr:to>
    <xdr:sp macro="" textlink="">
      <xdr:nvSpPr>
        <xdr:cNvPr id="4" name="Rectangle: Rounded Corners 3">
          <a:extLst>
            <a:ext uri="{FF2B5EF4-FFF2-40B4-BE49-F238E27FC236}">
              <a16:creationId xmlns:a16="http://schemas.microsoft.com/office/drawing/2014/main" id="{66755941-053B-24B2-1DDA-689ED2268B7A}"/>
            </a:ext>
          </a:extLst>
        </xdr:cNvPr>
        <xdr:cNvSpPr/>
      </xdr:nvSpPr>
      <xdr:spPr>
        <a:xfrm>
          <a:off x="609600" y="1280160"/>
          <a:ext cx="4899660" cy="31927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144780</xdr:colOff>
      <xdr:row>8</xdr:row>
      <xdr:rowOff>38100</xdr:rowOff>
    </xdr:from>
    <xdr:to>
      <xdr:col>8</xdr:col>
      <xdr:colOff>468461</xdr:colOff>
      <xdr:row>23</xdr:row>
      <xdr:rowOff>82895</xdr:rowOff>
    </xdr:to>
    <xdr:graphicFrame macro="">
      <xdr:nvGraphicFramePr>
        <xdr:cNvPr id="5" name="Chart 4">
          <a:extLst>
            <a:ext uri="{FF2B5EF4-FFF2-40B4-BE49-F238E27FC236}">
              <a16:creationId xmlns:a16="http://schemas.microsoft.com/office/drawing/2014/main" id="{7E2B3D2C-14BB-490A-96BB-7C50C553D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45720</xdr:colOff>
      <xdr:row>23</xdr:row>
      <xdr:rowOff>137160</xdr:rowOff>
    </xdr:from>
    <xdr:to>
      <xdr:col>19</xdr:col>
      <xdr:colOff>68580</xdr:colOff>
      <xdr:row>41</xdr:row>
      <xdr:rowOff>38100</xdr:rowOff>
    </xdr:to>
    <xdr:sp macro="" textlink="">
      <xdr:nvSpPr>
        <xdr:cNvPr id="6" name="Rectangle: Rounded Corners 5">
          <a:extLst>
            <a:ext uri="{FF2B5EF4-FFF2-40B4-BE49-F238E27FC236}">
              <a16:creationId xmlns:a16="http://schemas.microsoft.com/office/drawing/2014/main" id="{CEA274EF-C3D1-4FAE-B082-AD443EE24F54}"/>
            </a:ext>
          </a:extLst>
        </xdr:cNvPr>
        <xdr:cNvSpPr/>
      </xdr:nvSpPr>
      <xdr:spPr>
        <a:xfrm>
          <a:off x="6751320" y="4343400"/>
          <a:ext cx="4899660" cy="319278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236220</xdr:colOff>
      <xdr:row>24</xdr:row>
      <xdr:rowOff>137160</xdr:rowOff>
    </xdr:from>
    <xdr:to>
      <xdr:col>18</xdr:col>
      <xdr:colOff>559901</xdr:colOff>
      <xdr:row>39</xdr:row>
      <xdr:rowOff>181955</xdr:rowOff>
    </xdr:to>
    <xdr:graphicFrame macro="">
      <xdr:nvGraphicFramePr>
        <xdr:cNvPr id="7" name="Chart 6">
          <a:extLst>
            <a:ext uri="{FF2B5EF4-FFF2-40B4-BE49-F238E27FC236}">
              <a16:creationId xmlns:a16="http://schemas.microsoft.com/office/drawing/2014/main" id="{A66B23F5-A95D-4EEE-8FDF-D14E52D22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1</xdr:row>
      <xdr:rowOff>68580</xdr:rowOff>
    </xdr:from>
    <xdr:to>
      <xdr:col>17</xdr:col>
      <xdr:colOff>502920</xdr:colOff>
      <xdr:row>4</xdr:row>
      <xdr:rowOff>129540</xdr:rowOff>
    </xdr:to>
    <xdr:sp macro="" textlink="">
      <xdr:nvSpPr>
        <xdr:cNvPr id="8" name="Rectangle 7">
          <a:extLst>
            <a:ext uri="{FF2B5EF4-FFF2-40B4-BE49-F238E27FC236}">
              <a16:creationId xmlns:a16="http://schemas.microsoft.com/office/drawing/2014/main" id="{1B56A96A-9EC4-E543-8403-DE09E6A4E7BC}"/>
            </a:ext>
          </a:extLst>
        </xdr:cNvPr>
        <xdr:cNvSpPr/>
      </xdr:nvSpPr>
      <xdr:spPr>
        <a:xfrm>
          <a:off x="1691640" y="251460"/>
          <a:ext cx="917448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FORECAST DASHBOARD</a:t>
          </a:r>
        </a:p>
      </xdr:txBody>
    </xdr:sp>
    <xdr:clientData/>
  </xdr:twoCellAnchor>
  <xdr:twoCellAnchor editAs="oneCell">
    <xdr:from>
      <xdr:col>5</xdr:col>
      <xdr:colOff>594360</xdr:colOff>
      <xdr:row>25</xdr:row>
      <xdr:rowOff>68581</xdr:rowOff>
    </xdr:from>
    <xdr:to>
      <xdr:col>8</xdr:col>
      <xdr:colOff>594360</xdr:colOff>
      <xdr:row>31</xdr:row>
      <xdr:rowOff>160021</xdr:rowOff>
    </xdr:to>
    <mc:AlternateContent xmlns:mc="http://schemas.openxmlformats.org/markup-compatibility/2006" xmlns:a14="http://schemas.microsoft.com/office/drawing/2010/main">
      <mc:Choice Requires="a14">
        <xdr:graphicFrame macro="">
          <xdr:nvGraphicFramePr>
            <xdr:cNvPr id="9" name="Date (Month) 2">
              <a:extLst>
                <a:ext uri="{FF2B5EF4-FFF2-40B4-BE49-F238E27FC236}">
                  <a16:creationId xmlns:a16="http://schemas.microsoft.com/office/drawing/2014/main" id="{2FE5F6AC-2B69-F149-BE59-1B300C0592F4}"/>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3642360" y="46405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579120</xdr:colOff>
      <xdr:row>27</xdr:row>
      <xdr:rowOff>152401</xdr:rowOff>
    </xdr:from>
    <xdr:to>
      <xdr:col>4</xdr:col>
      <xdr:colOff>579120</xdr:colOff>
      <xdr:row>38</xdr:row>
      <xdr:rowOff>7621</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110BC170-DD3C-0673-9C7E-3582950BB08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88720" y="5090161"/>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33</xdr:row>
      <xdr:rowOff>7621</xdr:rowOff>
    </xdr:from>
    <xdr:to>
      <xdr:col>8</xdr:col>
      <xdr:colOff>571500</xdr:colOff>
      <xdr:row>41</xdr:row>
      <xdr:rowOff>45721</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B0DCE6E3-6F96-0556-DB27-02ED6BA733C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619500" y="604266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xdr:colOff>
      <xdr:row>8</xdr:row>
      <xdr:rowOff>114300</xdr:rowOff>
    </xdr:from>
    <xdr:to>
      <xdr:col>18</xdr:col>
      <xdr:colOff>160020</xdr:colOff>
      <xdr:row>20</xdr:row>
      <xdr:rowOff>68580</xdr:rowOff>
    </xdr:to>
    <xdr:sp macro="" textlink="">
      <xdr:nvSpPr>
        <xdr:cNvPr id="12" name="Rectangle: Rounded Corners 11">
          <a:extLst>
            <a:ext uri="{FF2B5EF4-FFF2-40B4-BE49-F238E27FC236}">
              <a16:creationId xmlns:a16="http://schemas.microsoft.com/office/drawing/2014/main" id="{2D362D8A-16BA-140C-6665-B9B5ABB82D0D}"/>
            </a:ext>
          </a:extLst>
        </xdr:cNvPr>
        <xdr:cNvSpPr/>
      </xdr:nvSpPr>
      <xdr:spPr>
        <a:xfrm>
          <a:off x="6736080" y="1577340"/>
          <a:ext cx="4396740" cy="214884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472440</xdr:colOff>
      <xdr:row>9</xdr:row>
      <xdr:rowOff>144780</xdr:rowOff>
    </xdr:from>
    <xdr:to>
      <xdr:col>17</xdr:col>
      <xdr:colOff>449580</xdr:colOff>
      <xdr:row>19</xdr:row>
      <xdr:rowOff>22860</xdr:rowOff>
    </xdr:to>
    <xdr:pic>
      <xdr:nvPicPr>
        <xdr:cNvPr id="13" name="Picture 12">
          <a:extLst>
            <a:ext uri="{FF2B5EF4-FFF2-40B4-BE49-F238E27FC236}">
              <a16:creationId xmlns:a16="http://schemas.microsoft.com/office/drawing/2014/main" id="{537FD154-BF11-FD76-62C6-B49A5BAE252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78040" y="1790700"/>
          <a:ext cx="3634740" cy="170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50814351851" backgroundQuery="1" createdVersion="8" refreshedVersion="8" minRefreshableVersion="3" recordCount="0" supportSubquery="1" supportAdvancedDrill="1" xr:uid="{98729035-7DC9-43AC-B54B-4DD050F82B53}">
  <cacheSource type="external" connectionId="3"/>
  <cacheFields count="5">
    <cacheField name="[Measures].[Sum of Current Stock]" caption="Sum of Current Stock" numFmtId="0" hierarchy="36" level="32767"/>
    <cacheField name="[Measures].[Sum of Reorder Level]" caption="Sum of Reorder Level" numFmtId="0" hierarchy="37" level="32767"/>
    <cacheField name="[Table1].[Reorder status].[Reorder status]" caption="Reorder status" numFmtId="0" hierarchy="3" level="1">
      <sharedItems count="2">
        <s v="Ok"/>
        <s v="Reorder"/>
      </sharedItems>
    </cacheField>
    <cacheField name="[Table6].[Category].[Category]" caption="Category" numFmtId="0" hierarchy="27" level="1">
      <sharedItems count="4">
        <s v="Appliances"/>
        <s v="Electronics"/>
        <s v="Furniture"/>
        <s v="Office"/>
      </sharedItems>
    </cacheField>
    <cacheField name="[Table5].[Segment].[Segment]" caption="Segment" numFmtId="0" hierarchy="23"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2" memberValueDatatype="130" unbalanced="0">
      <fieldsUsage count="2">
        <fieldUsage x="-1"/>
        <fieldUsage x="2"/>
      </fieldsUsage>
    </cacheHierarchy>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0"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fieldsUsage count="2">
        <fieldUsage x="-1"/>
        <fieldUsage x="4"/>
      </fieldsUsage>
    </cacheHierarchy>
    <cacheHierarchy uniqueName="[Table5].[region]" caption="region" attribute="1" defaultMemberUniqueName="[Table5].[region].[All]" allUniqueName="[Table5].[region].[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3"/>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50814814813" backgroundQuery="1" createdVersion="8" refreshedVersion="8" minRefreshableVersion="3" recordCount="0" supportSubquery="1" supportAdvancedDrill="1" xr:uid="{F149CA15-7BF6-4843-BBED-398CE8808715}">
  <cacheSource type="external" connectionId="3"/>
  <cacheFields count="4">
    <cacheField name="[Measures].[Sum of Current Stock]" caption="Sum of Current Stock" numFmtId="0" hierarchy="36" level="32767"/>
    <cacheField name="[Table6].[Category].[Category]" caption="Category" numFmtId="0" hierarchy="27" level="1">
      <sharedItems count="4">
        <s v="Appliances"/>
        <s v="Electronics"/>
        <s v="Furniture"/>
        <s v="Office"/>
      </sharedItems>
    </cacheField>
    <cacheField name="[Table1].[Reorder status].[Reorder status]" caption="Reorder status" numFmtId="0" hierarchy="3" level="1">
      <sharedItems containsSemiMixedTypes="0" containsNonDate="0" containsString="0"/>
    </cacheField>
    <cacheField name="[Table5].[Segment].[Segment]" caption="Segment" numFmtId="0" hierarchy="23"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2" memberValueDatatype="130" unbalanced="0">
      <fieldsUsage count="2">
        <fieldUsage x="-1"/>
        <fieldUsage x="2"/>
      </fieldsUsage>
    </cacheHierarchy>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0"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fieldsUsage count="2">
        <fieldUsage x="-1"/>
        <fieldUsage x="3"/>
      </fieldsUsage>
    </cacheHierarchy>
    <cacheHierarchy uniqueName="[Table5].[region]" caption="region" attribute="1" defaultMemberUniqueName="[Table5].[region].[All]" allUniqueName="[Table5].[region].[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1"/>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50815162036" backgroundQuery="1" createdVersion="8" refreshedVersion="8" minRefreshableVersion="3" recordCount="0" supportSubquery="1" supportAdvancedDrill="1" xr:uid="{A8D5A464-8C4D-486B-9973-DE0AD58C2D42}">
  <cacheSource type="external" connectionId="3"/>
  <cacheFields count="5">
    <cacheField name="[Table1].[Dead Stock].[Dead Stock]" caption="Dead Stock" numFmtId="0" hierarchy="4" level="1">
      <sharedItems containsSemiMixedTypes="0" containsNonDate="0" containsString="0"/>
    </cacheField>
    <cacheField name="[Measures].[Sum of Current Stock]" caption="Sum of Current Stock" numFmtId="0" hierarchy="36" level="32767"/>
    <cacheField name="[Table6].[Category].[Category]" caption="Category" numFmtId="0" hierarchy="27" level="1">
      <sharedItems count="4">
        <s v="Appliances"/>
        <s v="Electronics"/>
        <s v="Furniture"/>
        <s v="Office"/>
      </sharedItems>
    </cacheField>
    <cacheField name="[Table1].[Reorder status].[Reorder status]" caption="Reorder status" numFmtId="0" hierarchy="3" level="1">
      <sharedItems containsSemiMixedTypes="0" containsNonDate="0" containsString="0"/>
    </cacheField>
    <cacheField name="[Table5].[Segment].[Segment]" caption="Segment" numFmtId="0" hierarchy="23"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2" memberValueDatatype="130" unbalanced="0">
      <fieldsUsage count="2">
        <fieldUsage x="-1"/>
        <fieldUsage x="3"/>
      </fieldsUsage>
    </cacheHierarchy>
    <cacheHierarchy uniqueName="[Table1].[Dead Stock]" caption="Dead Stock" attribute="1" defaultMemberUniqueName="[Table1].[Dead Stock].[All]" allUniqueName="[Table1].[Dead Stock].[All]" dimensionUniqueName="[Table1]" displayFolder="" count="2" memberValueDatatype="130" unbalanced="0">
      <fieldsUsage count="2">
        <fieldUsage x="-1"/>
        <fieldUsage x="0"/>
      </fieldsUsage>
    </cacheHierarchy>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0"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fieldsUsage count="2">
        <fieldUsage x="-1"/>
        <fieldUsage x="4"/>
      </fieldsUsage>
    </cacheHierarchy>
    <cacheHierarchy uniqueName="[Table5].[region]" caption="region" attribute="1" defaultMemberUniqueName="[Table5].[region].[All]" allUniqueName="[Table5].[region].[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2"/>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oneField="1">
      <fieldsUsage count="1">
        <fieldUsage x="1"/>
      </fieldsUsage>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7828703705" backgroundQuery="1" createdVersion="8" refreshedVersion="8" minRefreshableVersion="3" recordCount="0" supportSubquery="1" supportAdvancedDrill="1" xr:uid="{AD315991-241A-4E42-8149-1B544E3C5601}">
  <cacheSource type="external" connectionId="3"/>
  <cacheFields count="2">
    <cacheField name="[Table6].[Category].[Category]" caption="Category" numFmtId="0" hierarchy="27" level="1">
      <sharedItems count="4">
        <s v="Appliances"/>
        <s v="Electronics"/>
        <s v="Furniture"/>
        <s v="Office"/>
      </sharedItems>
    </cacheField>
    <cacheField name="[Measures].[Sum of Quantity]" caption="Sum of Quantity" numFmtId="0" hierarchy="38" level="32767"/>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0"/>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oneField="1">
      <fieldsUsage count="1">
        <fieldUsage x="1"/>
      </fieldsUsage>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8005439815" backgroundQuery="1" createdVersion="8" refreshedVersion="8" minRefreshableVersion="3" recordCount="0" supportSubquery="1" supportAdvancedDrill="1" xr:uid="{68C2D735-2B64-44BE-87AD-64A5968EABAE}">
  <cacheSource type="external" connectionId="3"/>
  <cacheFields count="4">
    <cacheField name="[Table10].[cust type].[cust type]" caption="cust type" numFmtId="0" hierarchy="15" level="1">
      <sharedItems containsSemiMixedTypes="0" containsNonDate="0" containsString="0"/>
    </cacheField>
    <cacheField name="[Measures].[Count of CustomerID]" caption="Count of CustomerID" numFmtId="0" hierarchy="35" level="32767"/>
    <cacheField name="[Table10].[Date (Month)].[Date (Month)]" caption="Date (Month)" numFmtId="0" hierarchy="13" level="1">
      <sharedItems count="3">
        <s v="Jan"/>
        <s v="Feb"/>
        <s v="Mar"/>
      </sharedItems>
    </cacheField>
    <cacheField name="[Table5].[region].[region]" caption="region" numFmtId="0" hierarchy="24"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fieldsUsage count="2">
        <fieldUsage x="-1"/>
        <fieldUsage x="2"/>
      </fieldsUsage>
    </cacheHierarchy>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2" memberValueDatatype="130" unbalanced="0">
      <fieldsUsage count="2">
        <fieldUsage x="-1"/>
        <fieldUsage x="0"/>
      </fieldsUsage>
    </cacheHierarchy>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cacheHierarchy uniqueName="[Table5].[region]" caption="region" attribute="1" defaultMemberUniqueName="[Table5].[region].[All]" allUniqueName="[Table5].[region].[All]" dimensionUniqueName="[Table5]" displayFolder="" count="2" memberValueDatatype="130" unbalanced="0">
      <fieldsUsage count="2">
        <fieldUsage x="-1"/>
        <fieldUsage x="3"/>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oneField="1">
      <fieldsUsage count="1">
        <fieldUsage x="1"/>
      </fieldsUsage>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8006018516" backgroundQuery="1" createdVersion="8" refreshedVersion="8" minRefreshableVersion="3" recordCount="0" supportSubquery="1" supportAdvancedDrill="1" xr:uid="{EE750DB0-24E1-4A40-B2AC-EB7BE83B7A34}">
  <cacheSource type="external" connectionId="3"/>
  <cacheFields count="3">
    <cacheField name="[Table5].[Segment].[Segment]" caption="Segment" numFmtId="0" hierarchy="23" level="1">
      <sharedItems count="3">
        <s v="Consumer"/>
        <s v="Corporate"/>
        <s v="Home"/>
      </sharedItems>
    </cacheField>
    <cacheField name="[Measures].[total sales]" caption="total sales" numFmtId="0" hierarchy="39" level="32767"/>
    <cacheField name="[Table5].[region].[region]" caption="region" numFmtId="0" hierarchy="24"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fieldsUsage count="2">
        <fieldUsage x="-1"/>
        <fieldUsage x="0"/>
      </fieldsUsage>
    </cacheHierarchy>
    <cacheHierarchy uniqueName="[Table5].[region]" caption="region" attribute="1" defaultMemberUniqueName="[Table5].[region].[All]" allUniqueName="[Table5].[region].[All]" dimensionUniqueName="[Table5]" displayFolder="" count="2" memberValueDatatype="130" unbalanced="0">
      <fieldsUsage count="2">
        <fieldUsage x="-1"/>
        <fieldUsage x="2"/>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1"/>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8006365739" backgroundQuery="1" createdVersion="8" refreshedVersion="8" minRefreshableVersion="3" recordCount="0" supportSubquery="1" supportAdvancedDrill="1" xr:uid="{5A3DBCFA-2F5C-4DF2-A233-4B63660D4872}">
  <cacheSource type="external" connectionId="3"/>
  <cacheFields count="3">
    <cacheField name="[Table5].[Name].[Name]" caption="Name" numFmtId="0" hierarchy="20" level="1">
      <sharedItems count="10">
        <s v="Ajay B"/>
        <s v="Anil Kumar"/>
        <s v="Harsha T"/>
        <s v="Kavya N"/>
        <s v="Kiran P"/>
        <s v="Meera L"/>
        <s v="Neha S"/>
        <s v="Priya R"/>
        <s v="Ramesh S"/>
        <s v="Varun J"/>
      </sharedItems>
    </cacheField>
    <cacheField name="[Measures].[total sales]" caption="total sales" numFmtId="0" hierarchy="39" level="32767"/>
    <cacheField name="[Table5].[region].[region]" caption="region" numFmtId="0" hierarchy="24"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2" memberValueDatatype="130" unbalanced="0">
      <fieldsUsage count="2">
        <fieldUsage x="-1"/>
        <fieldUsage x="0"/>
      </fieldsUsage>
    </cacheHierarchy>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cacheHierarchy uniqueName="[Table5].[region]" caption="region" attribute="1" defaultMemberUniqueName="[Table5].[region].[All]" allUniqueName="[Table5].[region].[All]" dimensionUniqueName="[Table5]" displayFolder="" count="2" memberValueDatatype="130" unbalanced="0">
      <fieldsUsage count="2">
        <fieldUsage x="-1"/>
        <fieldUsage x="2"/>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1"/>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8006712962" backgroundQuery="1" createdVersion="8" refreshedVersion="8" minRefreshableVersion="3" recordCount="0" supportSubquery="1" supportAdvancedDrill="1" xr:uid="{B04E461E-1286-4871-9388-DAC6F4128F5D}">
  <cacheSource type="external" connectionId="3"/>
  <cacheFields count="3">
    <cacheField name="[Table10].[Date (Month)].[Date (Month)]" caption="Date (Month)" numFmtId="0" hierarchy="13" level="1">
      <sharedItems count="3">
        <s v="Jan"/>
        <s v="Feb"/>
        <s v="Mar"/>
      </sharedItems>
    </cacheField>
    <cacheField name="[Measures].[total sales]" caption="total sales" numFmtId="0" hierarchy="39" level="32767"/>
    <cacheField name="[Table5].[region].[region]" caption="region" numFmtId="0" hierarchy="24"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fieldsUsage count="2">
        <fieldUsage x="-1"/>
        <fieldUsage x="0"/>
      </fieldsUsage>
    </cacheHierarchy>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fieldsUsage count="2">
        <fieldUsage x="-1"/>
        <fieldUsage x="2"/>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1"/>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1.5187337963" backgroundQuery="1" createdVersion="8" refreshedVersion="8" minRefreshableVersion="3" recordCount="0" supportSubquery="1" supportAdvancedDrill="1" xr:uid="{93E9A2AC-DCED-440D-A1E2-D173278BEF4A}">
  <cacheSource type="external" connectionId="3"/>
  <cacheFields count="11">
    <cacheField name="[Measures].[total sales]" caption="total sales" numFmtId="0" hierarchy="39" level="32767"/>
    <cacheField name="[Measures].[total profit]" caption="total profit" numFmtId="0" hierarchy="40" level="32767"/>
    <cacheField name="[Measures].[mprofit margin%]" caption="mprofit margin%" numFmtId="0" hierarchy="41" level="32767"/>
    <cacheField name="[Measures].[avg order sales]" caption="avg order sales" numFmtId="0" hierarchy="42" level="32767"/>
    <cacheField name="[Measures].[no of orders]" caption="no of orders" numFmtId="0" hierarchy="43" level="32767"/>
    <cacheField name="[Measures].[no of cust]" caption="no of cust" numFmtId="0" hierarchy="44" level="32767"/>
    <cacheField name="[Measures].[inv turnover]" caption="inv turnover" numFmtId="0" hierarchy="45" level="32767"/>
    <cacheField name="[Measures].[target achivement]" caption="target achivement" numFmtId="0" hierarchy="46" level="32767"/>
    <cacheField name="[Measures].[cust retention %]" caption="cust retention %" numFmtId="0" hierarchy="48" level="32767"/>
    <cacheField name="[Table6].[Category].[Category]" caption="Category" numFmtId="0" hierarchy="27" level="1">
      <sharedItems containsSemiMixedTypes="0" containsNonDate="0" containsString="0"/>
    </cacheField>
    <cacheField name="[Table5].[region].[region]" caption="region" numFmtId="0" hierarchy="24"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fieldsUsage count="2">
        <fieldUsage x="-1"/>
        <fieldUsage x="10"/>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9"/>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0"/>
      </fieldsUsage>
    </cacheHierarchy>
    <cacheHierarchy uniqueName="[Measures].[total profit]" caption="total profit" measure="1" displayFolder="" measureGroup="Table10" count="0" oneField="1">
      <fieldsUsage count="1">
        <fieldUsage x="1"/>
      </fieldsUsage>
    </cacheHierarchy>
    <cacheHierarchy uniqueName="[Measures].[mprofit margin%]" caption="mprofit margin%" measure="1" displayFolder="" measureGroup="Table10" count="0" oneField="1">
      <fieldsUsage count="1">
        <fieldUsage x="2"/>
      </fieldsUsage>
    </cacheHierarchy>
    <cacheHierarchy uniqueName="[Measures].[avg order sales]" caption="avg order sales" measure="1" displayFolder="" measureGroup="Table10" count="0" oneField="1">
      <fieldsUsage count="1">
        <fieldUsage x="3"/>
      </fieldsUsage>
    </cacheHierarchy>
    <cacheHierarchy uniqueName="[Measures].[no of orders]" caption="no of orders" measure="1" displayFolder="" measureGroup="Table10" count="0" oneField="1">
      <fieldsUsage count="1">
        <fieldUsage x="4"/>
      </fieldsUsage>
    </cacheHierarchy>
    <cacheHierarchy uniqueName="[Measures].[no of cust]" caption="no of cust" measure="1" displayFolder="" measureGroup="Table10" count="0" oneField="1">
      <fieldsUsage count="1">
        <fieldUsage x="5"/>
      </fieldsUsage>
    </cacheHierarchy>
    <cacheHierarchy uniqueName="[Measures].[inv turnover]" caption="inv turnover" measure="1" displayFolder="" measureGroup="Table10" count="0" oneField="1">
      <fieldsUsage count="1">
        <fieldUsage x="6"/>
      </fieldsUsage>
    </cacheHierarchy>
    <cacheHierarchy uniqueName="[Measures].[target achivement]" caption="target achivement" measure="1" displayFolder="" measureGroup="Table10" count="0" oneField="1">
      <fieldsUsage count="1">
        <fieldUsage x="7"/>
      </fieldsUsage>
    </cacheHierarchy>
    <cacheHierarchy uniqueName="[Measures].[COUNT OF REPEAT]" caption="COUNT OF REPEAT" measure="1" displayFolder="" measureGroup="Table10" count="0"/>
    <cacheHierarchy uniqueName="[Measures].[cust retention %]" caption="cust retention %" measure="1" displayFolder="" measureGroup="Table10" count="0" oneField="1">
      <fieldsUsage count="1">
        <fieldUsage x="8"/>
      </fieldsUsage>
    </cacheHierarchy>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rami reddy" refreshedDate="46204.87697662037" backgroundQuery="1" createdVersion="8" refreshedVersion="8" minRefreshableVersion="3" recordCount="0" supportSubquery="1" supportAdvancedDrill="1" xr:uid="{31D0771A-1E4F-4F39-9B35-11B7964E15B0}">
  <cacheSource type="external" connectionId="3"/>
  <cacheFields count="4">
    <cacheField name="[Table6].[Product Name].[Product Name]" caption="Product Name" numFmtId="0" hierarchy="26" level="1">
      <sharedItems count="5">
        <s v="AC"/>
        <s v="Fan"/>
        <s v="Microwave"/>
        <s v="Mixer"/>
        <s v="Washing Machine"/>
      </sharedItems>
    </cacheField>
    <cacheField name="[Measures].[total sales]" caption="total sales" numFmtId="0" hierarchy="39" level="32767"/>
    <cacheField name="[Table2].[Month].[Month]" caption="Month" numFmtId="0" hierarchy="17" level="1">
      <sharedItems containsSemiMixedTypes="0" containsNonDate="0" containsString="0"/>
    </cacheField>
    <cacheField name="[Table6].[Category].[Category]" caption="Category" numFmtId="0" hierarchy="27"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2"/>
      </fieldsUsage>
    </cacheHierarchy>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2" memberValueDatatype="130" unbalanced="0">
      <fieldsUsage count="2">
        <fieldUsage x="-1"/>
        <fieldUsage x="0"/>
      </fieldsUsage>
    </cacheHierarchy>
    <cacheHierarchy uniqueName="[Table6].[Category]" caption="Category" attribute="1" defaultMemberUniqueName="[Table6].[Category].[All]" allUniqueName="[Table6].[Category].[All]" dimensionUniqueName="[Table6]" displayFolder="" count="2" memberValueDatatype="130" unbalanced="0">
      <fieldsUsage count="2">
        <fieldUsage x="-1"/>
        <fieldUsage x="3"/>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1"/>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rami reddy" refreshedDate="46204.876977314816" backgroundQuery="1" createdVersion="8" refreshedVersion="8" minRefreshableVersion="3" recordCount="0" supportSubquery="1" supportAdvancedDrill="1" xr:uid="{2772816B-9B7B-43CE-883A-0FF15A03AAC6}">
  <cacheSource type="external" connectionId="3"/>
  <cacheFields count="4">
    <cacheField name="[Measures].[total sales]" caption="total sales" numFmtId="0" hierarchy="39" level="32767"/>
    <cacheField name="[Table5].[region].[region]" caption="region" numFmtId="0" hierarchy="24" level="1">
      <sharedItems count="4">
        <s v="Central"/>
        <s v="East"/>
        <s v="North"/>
        <s v="South"/>
      </sharedItems>
    </cacheField>
    <cacheField name="[Table2].[Month].[Month]" caption="Month" numFmtId="0" hierarchy="17" level="1">
      <sharedItems containsSemiMixedTypes="0" containsNonDate="0" containsString="0"/>
    </cacheField>
    <cacheField name="[Table6].[Category].[Category]" caption="Category" numFmtId="0" hierarchy="27"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2"/>
      </fieldsUsage>
    </cacheHierarchy>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fieldsUsage count="2">
        <fieldUsage x="-1"/>
        <fieldUsage x="1"/>
      </fieldsUsage>
    </cacheHierarchy>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3"/>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0"/>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rami reddy" refreshedDate="46204.876977893517" backgroundQuery="1" createdVersion="8" refreshedVersion="8" minRefreshableVersion="3" recordCount="0" supportSubquery="1" supportAdvancedDrill="1" xr:uid="{07CE0634-107E-499A-90C2-E37BC78B0DDD}">
  <cacheSource type="external" connectionId="3"/>
  <cacheFields count="5">
    <cacheField name="[Measures].[total sales]" caption="total sales" numFmtId="0" hierarchy="39" level="32767"/>
    <cacheField name="[Table10].[Date].[Date]" caption="Date" numFmtId="0" hierarchy="6" level="1">
      <sharedItems containsSemiMixedTypes="0" containsNonDate="0" containsDate="1" containsString="0" minDate="2026-01-05T00:00:00" maxDate="2026-03-21T00:00:00" count="29">
        <d v="2026-01-05T00:00:00"/>
        <d v="2026-01-07T00:00:00"/>
        <d v="2026-01-10T00:00:00"/>
        <d v="2026-01-12T00:00:00"/>
        <d v="2026-01-15T00:00:00"/>
        <d v="2026-01-18T00:00:00"/>
        <d v="2026-01-20T00:00:00"/>
        <d v="2026-01-22T00:00:00"/>
        <d v="2026-01-25T00:00:00"/>
        <d v="2026-01-28T00:00:00"/>
        <d v="2026-02-02T00:00:00"/>
        <d v="2026-02-05T00:00:00"/>
        <d v="2026-02-07T00:00:00"/>
        <d v="2026-02-10T00:00:00"/>
        <d v="2026-02-12T00:00:00"/>
        <d v="2026-02-15T00:00:00"/>
        <d v="2026-02-18T00:00:00"/>
        <d v="2026-02-20T00:00:00"/>
        <d v="2026-02-22T00:00:00"/>
        <d v="2026-02-25T00:00:00"/>
        <d v="2026-03-01T00:00:00"/>
        <d v="2026-03-03T00:00:00"/>
        <d v="2026-03-05T00:00:00"/>
        <d v="2026-03-07T00:00:00"/>
        <d v="2026-03-10T00:00:00"/>
        <d v="2026-03-12T00:00:00"/>
        <d v="2026-03-15T00:00:00"/>
        <d v="2026-03-18T00:00:00"/>
        <d v="2026-03-20T00:00:00"/>
      </sharedItems>
    </cacheField>
    <cacheField name="[Table10].[Date (Month)].[Date (Month)]" caption="Date (Month)" numFmtId="0" hierarchy="13" level="1">
      <sharedItems count="3">
        <s v="Jan"/>
        <s v="Feb"/>
        <s v="Mar"/>
      </sharedItems>
    </cacheField>
    <cacheField name="[Table2].[Month].[Month]" caption="Month" numFmtId="0" hierarchy="17" level="1">
      <sharedItems containsSemiMixedTypes="0" containsNonDate="0" containsString="0"/>
    </cacheField>
    <cacheField name="[Table6].[Category].[Category]" caption="Category" numFmtId="0" hierarchy="27" level="1">
      <sharedItems containsSemiMixedTypes="0" containsNonDate="0" containsString="0"/>
    </cacheField>
  </cacheFields>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2" memberValueDatatype="7" unbalanced="0">
      <fieldsUsage count="2">
        <fieldUsage x="-1"/>
        <fieldUsage x="1"/>
      </fieldsUsage>
    </cacheHierarchy>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fieldsUsage count="2">
        <fieldUsage x="-1"/>
        <fieldUsage x="2"/>
      </fieldsUsage>
    </cacheHierarchy>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3"/>
      </fieldsUsage>
    </cacheHierarchy>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4"/>
      </fieldsUsage>
    </cacheHierarchy>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oneField="1">
      <fieldsUsage count="1">
        <fieldUsage x="0"/>
      </fieldsUsage>
    </cacheHierarchy>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12372916665" backgroundQuery="1" createdVersion="3" refreshedVersion="8" minRefreshableVersion="3" recordCount="0" supportSubquery="1" supportAdvancedDrill="1" xr:uid="{9D9597E0-47D5-47FA-942A-D2E45B7C5B18}">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2" memberValueDatatype="130" unbalanced="0"/>
    <cacheHierarchy uniqueName="[Table5].[region]" caption="region" attribute="1" defaultMemberUniqueName="[Table5].[region].[All]" allUniqueName="[Table5].[region].[All]" dimensionUniqueName="[Table5]" displayFolder="" count="2"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324648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12383101849" backgroundQuery="1" createdVersion="3" refreshedVersion="8" minRefreshableVersion="3" recordCount="0" supportSubquery="1" supportAdvancedDrill="1" xr:uid="{8CDCA660-9ABF-491D-8635-A9DD8DF7245C}">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2"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115311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12389351852" backgroundQuery="1" createdVersion="3" refreshedVersion="8" minRefreshableVersion="3" recordCount="0" supportSubquery="1" supportAdvancedDrill="1" xr:uid="{2EE2516E-B8E2-421D-A89F-A816E0E3FE12}">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Table1].[ProductID]" caption="ProductID" attribute="1" defaultMemberUniqueName="[Table1].[ProductID].[All]" allUniqueName="[Table1].[ProductID].[All]" dimensionUniqueName="[Table1]" displayFolder="" count="0" memberValueDatatype="130" unbalanced="0"/>
    <cacheHierarchy uniqueName="[Table1].[Current Stock]" caption="Current Stock" attribute="1" defaultMemberUniqueName="[Table1].[Current Stock].[All]" allUniqueName="[Table1].[Current Stock].[All]" dimensionUniqueName="[Table1]" displayFolder="" count="0" memberValueDatatype="20" unbalanced="0"/>
    <cacheHierarchy uniqueName="[Table1].[Reorder Level]" caption="Reorder Level" attribute="1" defaultMemberUniqueName="[Table1].[Reorder Level].[All]" allUniqueName="[Table1].[Reorder Level].[All]" dimensionUniqueName="[Table1]" displayFolder="" count="0" memberValueDatatype="20" unbalanced="0"/>
    <cacheHierarchy uniqueName="[Table1].[Reorder status]" caption="Reorder status" attribute="1" defaultMemberUniqueName="[Table1].[Reorder status].[All]" allUniqueName="[Table1].[Reorder status].[All]" dimensionUniqueName="[Table1]" displayFolder="" count="0" memberValueDatatype="130" unbalanced="0"/>
    <cacheHierarchy uniqueName="[Table1].[Dead Stock]" caption="Dead Stock" attribute="1" defaultMemberUniqueName="[Table1].[Dead Stock].[All]" allUniqueName="[Table1].[Dead Stock].[All]" dimensionUniqueName="[Table1]" displayFolder="" count="0" memberValueDatatype="130" unbalanced="0"/>
    <cacheHierarchy uniqueName="[Table10].[OrderID]" caption="OrderID" attribute="1" defaultMemberUniqueName="[Table10].[OrderID].[All]" allUniqueName="[Table10].[OrderID].[All]" dimensionUniqueName="[Table10]" displayFolder="" count="0" memberValueDatatype="130" unbalanced="0"/>
    <cacheHierarchy uniqueName="[Table10].[Date]" caption="Date" attribute="1" time="1" defaultMemberUniqueName="[Table10].[Date].[All]" allUniqueName="[Table10].[Date].[All]" dimensionUniqueName="[Table10]" displayFolder="" count="0" memberValueDatatype="7" unbalanced="0"/>
    <cacheHierarchy uniqueName="[Table10].[CustomerID]" caption="CustomerID" attribute="1" defaultMemberUniqueName="[Table10].[CustomerID].[All]" allUniqueName="[Table10].[CustomerID].[All]" dimensionUniqueName="[Table10]" displayFolder="" count="0" memberValueDatatype="130" unbalanced="0"/>
    <cacheHierarchy uniqueName="[Table10].[ProductID]" caption="ProductID" attribute="1" defaultMemberUniqueName="[Table10].[ProductID].[All]" allUniqueName="[Table10].[ProductID].[All]" dimensionUniqueName="[Table10]" displayFolder="" count="0" memberValueDatatype="130" unbalanced="0"/>
    <cacheHierarchy uniqueName="[Table10].[Quantity]" caption="Quantity" attribute="1" defaultMemberUniqueName="[Table10].[Quantity].[All]" allUniqueName="[Table10].[Quantity].[All]" dimensionUniqueName="[Table10]" displayFolder="" count="0" memberValueDatatype="20" unbalanced="0"/>
    <cacheHierarchy uniqueName="[Table10].[Sales]" caption="Sales" attribute="1" defaultMemberUniqueName="[Table10].[Sales].[All]" allUniqueName="[Table10].[Sales].[All]" dimensionUniqueName="[Table10]" displayFolder="" count="0" memberValueDatatype="20" unbalanced="0"/>
    <cacheHierarchy uniqueName="[Table10].[Profit]" caption="Profit" attribute="1" defaultMemberUniqueName="[Table10].[Profit].[All]" allUniqueName="[Table10].[Profit].[All]" dimensionUniqueName="[Table10]" displayFolder="" count="0" memberValueDatatype="20" unbalanced="0"/>
    <cacheHierarchy uniqueName="[Table10].[margin per order]" caption="margin per order" attribute="1" defaultMemberUniqueName="[Table10].[margin per order].[All]" allUniqueName="[Table10].[margin per order].[All]" dimensionUniqueName="[Table10]" displayFolder="" count="0" memberValueDatatype="5" unbalanced="0"/>
    <cacheHierarchy uniqueName="[Table10].[Date (Month)]" caption="Date (Month)" attribute="1" defaultMemberUniqueName="[Table10].[Date (Month)].[All]" allUniqueName="[Table10].[Date (Month)].[All]" dimensionUniqueName="[Table10]" displayFolder="" count="0" memberValueDatatype="130" unbalanced="0"/>
    <cacheHierarchy uniqueName="[Table10].[count of orders]" caption="count of orders" attribute="1" defaultMemberUniqueName="[Table10].[count of orders].[All]" allUniqueName="[Table10].[count of orders].[All]" dimensionUniqueName="[Table10]" displayFolder="" count="0" memberValueDatatype="20" unbalanced="0"/>
    <cacheHierarchy uniqueName="[Table10].[cust type]" caption="cust type" attribute="1" defaultMemberUniqueName="[Table10].[cust type].[All]" allUniqueName="[Table10].[cust type].[All]" dimensionUniqueName="[Table10]" displayFolder="" count="0" memberValueDatatype="130" unbalanced="0"/>
    <cacheHierarchy uniqueName="[Table2].[DateKey]" caption="DateKey" attribute="1" time="1" defaultMemberUniqueName="[Table2].[DateKey].[All]" allUniqueName="[Table2].[DateKey].[All]" dimensionUniqueName="[Table2]" displayFolder="" count="0" memberValueDatatype="7" unbalanced="0"/>
    <cacheHierarchy uniqueName="[Table2].[Month]" caption="Month" attribute="1" defaultMemberUniqueName="[Table2].[Month].[All]" allUniqueName="[Table2].[Month].[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Name]" caption="Name" attribute="1" defaultMemberUniqueName="[Table5].[Name].[All]" allUniqueName="[Table5].[Name].[All]" dimensionUniqueName="[Table5]" displayFolder="" count="0" memberValueDatatype="130" unbalanced="0"/>
    <cacheHierarchy uniqueName="[Table5].[City]" caption="City" attribute="1" defaultMemberUniqueName="[Table5].[City].[All]" allUniqueName="[Table5].[City].[All]" dimensionUniqueName="[Table5]" displayFolder="" count="0" memberValueDatatype="130" unbalanced="0"/>
    <cacheHierarchy uniqueName="[Table5].[State]" caption="State" attribute="1" defaultMemberUniqueName="[Table5].[State].[All]" allUniqueName="[Table5].[State].[All]" dimensionUniqueName="[Table5]" displayFolder="" count="0" memberValueDatatype="130" unbalanced="0"/>
    <cacheHierarchy uniqueName="[Table5].[Segment]" caption="Segment" attribute="1" defaultMemberUniqueName="[Table5].[Segment].[All]" allUniqueName="[Table5].[Segment].[All]" dimensionUniqueName="[Table5]" displayFolder="" count="0" memberValueDatatype="130" unbalanced="0"/>
    <cacheHierarchy uniqueName="[Table5].[region]" caption="region" attribute="1" defaultMemberUniqueName="[Table5].[region].[All]" allUniqueName="[Table5].[region].[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130" unbalanced="0"/>
    <cacheHierarchy uniqueName="[Table6].[Product Name]" caption="Product Name" attribute="1" defaultMemberUniqueName="[Table6].[Product Name].[All]" allUniqueName="[Table6].[Product 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Cost Price]" caption="Cost Price" attribute="1" defaultMemberUniqueName="[Table6].[Cost Price].[All]" allUniqueName="[Table6].[Cost Price].[All]" dimensionUniqueName="[Table6]" displayFolder="" count="0" memberValueDatatype="20" unbalanced="0"/>
    <cacheHierarchy uniqueName="[Table7].[ProductID]" caption="ProductID" attribute="1" defaultMemberUniqueName="[Table7].[ProductID].[All]" allUniqueName="[Table7].[ProductID].[All]" dimensionUniqueName="[Table7]" displayFolder="" count="0" memberValueDatatype="130" unbalanced="0"/>
    <cacheHierarchy uniqueName="[Table7].[Current Stock]" caption="Current Stock" attribute="1" defaultMemberUniqueName="[Table7].[Current Stock].[All]" allUniqueName="[Table7].[Current Stock].[All]" dimensionUniqueName="[Table7]" displayFolder="" count="0" memberValueDatatype="20" unbalanced="0"/>
    <cacheHierarchy uniqueName="[Table7].[Reorder Level]" caption="Reorder Level" attribute="1" defaultMemberUniqueName="[Table7].[Reorder Level].[All]" allUniqueName="[Table7].[Reorder Level].[All]" dimensionUniqueName="[Table7]" displayFolder="" count="0" memberValueDatatype="20" unbalanced="0"/>
    <cacheHierarchy uniqueName="[Table8].[Month]" caption="Month" attribute="1" time="1" defaultMemberUniqueName="[Table8].[Month].[All]" allUniqueName="[Table8].[Month].[All]" dimensionUniqueName="[Table8]" displayFolder="" count="0" memberValueDatatype="7" unbalanced="0"/>
    <cacheHierarchy uniqueName="[Table8].[Target Sales]" caption="Target Sales" attribute="1" defaultMemberUniqueName="[Table8].[Target Sales].[All]" allUniqueName="[Table8].[Target Sales].[All]" dimensionUniqueName="[Table8]" displayFolder="" count="0" memberValueDatatype="20" unbalanced="0"/>
    <cacheHierarchy uniqueName="[Table10].[Date (Month Index)]" caption="Date (Month Index)" attribute="1" defaultMemberUniqueName="[Table10].[Date (Month Index)].[All]" allUniqueName="[Table10].[Date (Month Index)].[All]" dimensionUniqueName="[Table10]" displayFolder="" count="0"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7"/>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1"/>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2"/>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9"/>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98135263"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gavi Yanduri" refreshedDate="46200.645210300929" backgroundQuery="1" createdVersion="3" refreshedVersion="8" minRefreshableVersion="3" recordCount="0" supportSubquery="1" supportAdvancedDrill="1" xr:uid="{52137A5D-952F-4AC0-B8F8-C68838AF4A98}">
  <cacheSource type="external" connectionId="3">
    <extLst>
      <ext xmlns:x14="http://schemas.microsoft.com/office/spreadsheetml/2009/9/main" uri="{F057638F-6D5F-4e77-A914-E7F072B9BCA8}">
        <x14:sourceConnection name="ThisWorkbookDataModel"/>
      </ext>
    </extLst>
  </cacheSource>
  <cacheFields count="0"/>
  <cacheHierarchies count="58">
    <cacheHierarchy uniqueName="[Measures]" caption="Measures" attribute="1" keyAttribute="1" defaultMemberUniqueName="[Measures].[__No measures defined]" dimensionUniqueName="[Measures]" displayFolder="" measures="1" count="1" memberValueDatatype="130" unbalanced="0"/>
    <cacheHierarchy uniqueName="[Table1].[ProductID]" caption="ProductID" attribute="1" defaultMemberUniqueName="[Table1].[ProductID].[All]" allUniqueName="[Table1].[ProductID].[All]" dimensionUniqueName="[Table1]" displayFolder="" count="2" memberValueDatatype="130" unbalanced="0"/>
    <cacheHierarchy uniqueName="[Table1].[Current Stock]" caption="Current Stock" attribute="1" defaultMemberUniqueName="[Table1].[Current Stock].[All]" allUniqueName="[Table1].[Current Stock].[All]" dimensionUniqueName="[Table1]" displayFolder="" count="2" memberValueDatatype="20" unbalanced="0"/>
    <cacheHierarchy uniqueName="[Table1].[Reorder Level]" caption="Reorder Level" attribute="1" defaultMemberUniqueName="[Table1].[Reorder Level].[All]" allUniqueName="[Table1].[Reorder Level].[All]" dimensionUniqueName="[Table1]" displayFolder="" count="2" memberValueDatatype="20" unbalanced="0"/>
    <cacheHierarchy uniqueName="[Table1].[Reorder status]" caption="Reorder status" attribute="1" defaultMemberUniqueName="[Table1].[Reorder status].[All]" allUniqueName="[Table1].[Reorder status].[All]" dimensionUniqueName="[Table1]" displayFolder="" count="2" memberValueDatatype="130" unbalanced="0"/>
    <cacheHierarchy uniqueName="[Table1].[Dead Stock]" caption="Dead Stock" attribute="1" defaultMemberUniqueName="[Table1].[Dead Stock].[All]" allUniqueName="[Table1].[Dead Stock].[All]" dimensionUniqueName="[Table1]" displayFolder="" count="2" memberValueDatatype="130" unbalanced="0"/>
    <cacheHierarchy uniqueName="[Table10].[OrderID]" caption="OrderID" attribute="1" defaultMemberUniqueName="[Table10].[OrderID].[All]" allUniqueName="[Table10].[OrderID].[All]" dimensionUniqueName="[Table10]" displayFolder="" count="2" memberValueDatatype="130" unbalanced="0"/>
    <cacheHierarchy uniqueName="[Table10].[Date]" caption="Date" attribute="1" time="1" defaultMemberUniqueName="[Table10].[Date].[All]" allUniqueName="[Table10].[Date].[All]" dimensionUniqueName="[Table10]" displayFolder="" count="2" memberValueDatatype="7" unbalanced="0"/>
    <cacheHierarchy uniqueName="[Table10].[CustomerID]" caption="CustomerID" attribute="1" defaultMemberUniqueName="[Table10].[CustomerID].[All]" allUniqueName="[Table10].[CustomerID].[All]" dimensionUniqueName="[Table10]" displayFolder="" count="2" memberValueDatatype="130" unbalanced="0"/>
    <cacheHierarchy uniqueName="[Table10].[ProductID]" caption="ProductID" attribute="1" defaultMemberUniqueName="[Table10].[ProductID].[All]" allUniqueName="[Table10].[ProductID].[All]" dimensionUniqueName="[Table10]" displayFolder="" count="2" memberValueDatatype="130" unbalanced="0"/>
    <cacheHierarchy uniqueName="[Table10].[Quantity]" caption="Quantity" attribute="1" defaultMemberUniqueName="[Table10].[Quantity].[All]" allUniqueName="[Table10].[Quantity].[All]" dimensionUniqueName="[Table10]" displayFolder="" count="2" memberValueDatatype="20" unbalanced="0"/>
    <cacheHierarchy uniqueName="[Table10].[Sales]" caption="Sales" attribute="1" defaultMemberUniqueName="[Table10].[Sales].[All]" allUniqueName="[Table10].[Sales].[All]" dimensionUniqueName="[Table10]" displayFolder="" count="2" memberValueDatatype="20" unbalanced="0"/>
    <cacheHierarchy uniqueName="[Table10].[Profit]" caption="Profit" attribute="1" defaultMemberUniqueName="[Table10].[Profit].[All]" allUniqueName="[Table10].[Profit].[All]" dimensionUniqueName="[Table10]" displayFolder="" count="2" memberValueDatatype="20" unbalanced="0"/>
    <cacheHierarchy uniqueName="[Table10].[margin per order]" caption="margin per order" attribute="1" defaultMemberUniqueName="[Table10].[margin per order].[All]" allUniqueName="[Table10].[margin per order].[All]" dimensionUniqueName="[Table10]" displayFolder="" count="2" memberValueDatatype="5" unbalanced="0"/>
    <cacheHierarchy uniqueName="[Table10].[Date (Month)]" caption="Date (Month)" attribute="1" defaultMemberUniqueName="[Table10].[Date (Month)].[All]" allUniqueName="[Table10].[Date (Month)].[All]" dimensionUniqueName="[Table10]" displayFolder="" count="2" memberValueDatatype="130" unbalanced="0"/>
    <cacheHierarchy uniqueName="[Table10].[count of orders]" caption="count of orders" attribute="1" defaultMemberUniqueName="[Table10].[count of orders].[All]" allUniqueName="[Table10].[count of orders].[All]" dimensionUniqueName="[Table10]" displayFolder="" count="2" memberValueDatatype="20" unbalanced="0"/>
    <cacheHierarchy uniqueName="[Table10].[cust type]" caption="cust type" attribute="1" defaultMemberUniqueName="[Table10].[cust type].[All]" allUniqueName="[Table10].[cust type].[All]" dimensionUniqueName="[Table10]" displayFolder="" count="2" memberValueDatatype="130" unbalanced="0"/>
    <cacheHierarchy uniqueName="[Table2].[DateKey]" caption="DateKey" attribute="1" time="1" defaultMemberUniqueName="[Table2].[DateKey].[All]" allUniqueName="[Table2].[DateKey].[All]" dimensionUniqueName="[Table2]" displayFolder="" count="2"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5].[CustomerID]" caption="CustomerID" attribute="1" defaultMemberUniqueName="[Table5].[CustomerID].[All]" allUniqueName="[Table5].[CustomerID].[All]" dimensionUniqueName="[Table5]" displayFolder="" count="2" memberValueDatatype="130" unbalanced="0"/>
    <cacheHierarchy uniqueName="[Table5].[Name]" caption="Name" attribute="1" defaultMemberUniqueName="[Table5].[Name].[All]" allUniqueName="[Table5].[Name].[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cacheHierarchy uniqueName="[Table5].[State]" caption="State" attribute="1" defaultMemberUniqueName="[Table5].[State].[All]" allUniqueName="[Table5].[State].[All]" dimensionUniqueName="[Table5]" displayFolder="" count="2" memberValueDatatype="130" unbalanced="0"/>
    <cacheHierarchy uniqueName="[Table5].[Segment]" caption="Segment" attribute="1" defaultMemberUniqueName="[Table5].[Segment].[All]" allUniqueName="[Table5].[Segment].[All]" dimensionUniqueName="[Table5]" displayFolder="" count="2" memberValueDatatype="130" unbalanced="0"/>
    <cacheHierarchy uniqueName="[Table5].[region]" caption="region" attribute="1" defaultMemberUniqueName="[Table5].[region].[All]" allUniqueName="[Table5].[region].[All]" dimensionUniqueName="[Table5]" displayFolder="" count="2" memberValueDatatype="130" unbalanced="0"/>
    <cacheHierarchy uniqueName="[Table6].[ProductID]" caption="ProductID" attribute="1" defaultMemberUniqueName="[Table6].[ProductID].[All]" allUniqueName="[Table6].[ProductID].[All]" dimensionUniqueName="[Table6]" displayFolder="" count="2" memberValueDatatype="130" unbalanced="0"/>
    <cacheHierarchy uniqueName="[Table6].[Product Name]" caption="Product Name" attribute="1" defaultMemberUniqueName="[Table6].[Product Name].[All]" allUniqueName="[Table6].[Product Name].[All]" dimensionUniqueName="[Table6]" displayFolder="" count="2"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Cost Price]" caption="Cost Price" attribute="1" defaultMemberUniqueName="[Table6].[Cost Price].[All]" allUniqueName="[Table6].[Cost Price].[All]" dimensionUniqueName="[Table6]" displayFolder="" count="2" memberValueDatatype="20" unbalanced="0"/>
    <cacheHierarchy uniqueName="[Table7].[ProductID]" caption="ProductID" attribute="1" defaultMemberUniqueName="[Table7].[ProductID].[All]" allUniqueName="[Table7].[ProductID].[All]" dimensionUniqueName="[Table7]" displayFolder="" count="2" memberValueDatatype="130" unbalanced="0"/>
    <cacheHierarchy uniqueName="[Table7].[Current Stock]" caption="Current Stock" attribute="1" defaultMemberUniqueName="[Table7].[Current Stock].[All]" allUniqueName="[Table7].[Current Stock].[All]" dimensionUniqueName="[Table7]" displayFolder="" count="2" memberValueDatatype="20" unbalanced="0"/>
    <cacheHierarchy uniqueName="[Table7].[Reorder Level]" caption="Reorder Level" attribute="1" defaultMemberUniqueName="[Table7].[Reorder Level].[All]" allUniqueName="[Table7].[Reorder Level].[All]" dimensionUniqueName="[Table7]" displayFolder="" count="2" memberValueDatatype="20" unbalanced="0"/>
    <cacheHierarchy uniqueName="[Table8].[Month]" caption="Month" attribute="1" time="1" defaultMemberUniqueName="[Table8].[Month].[All]" allUniqueName="[Table8].[Month].[All]" dimensionUniqueName="[Table8]" displayFolder="" count="2" memberValueDatatype="7" unbalanced="0"/>
    <cacheHierarchy uniqueName="[Table8].[Target Sales]" caption="Target Sales" attribute="1" defaultMemberUniqueName="[Table8].[Target Sales].[All]" allUniqueName="[Table8].[Target Sales].[All]" dimensionUniqueName="[Table8]" displayFolder="" count="2" memberValueDatatype="20" unbalanced="0"/>
    <cacheHierarchy uniqueName="[Table10].[Date (Month Index)]" caption="Date (Month Index)" attribute="1" defaultMemberUniqueName="[Table10].[Date (Month Index)].[All]" allUniqueName="[Table10].[Date (Month Index)].[All]" dimensionUniqueName="[Table10]" displayFolder="" count="2" memberValueDatatype="20" unbalanced="0" hidden="1"/>
    <cacheHierarchy uniqueName="[Measures].[Count of CustomerID]" caption="Count of CustomerID" measure="1" displayFolder="" measureGroup="Table10" count="0">
      <extLst>
        <ext xmlns:x15="http://schemas.microsoft.com/office/spreadsheetml/2010/11/main" uri="{B97F6D7D-B522-45F9-BDA1-12C45D357490}">
          <x15:cacheHierarchy aggregatedColumn="8"/>
        </ext>
      </extLst>
    </cacheHierarchy>
    <cacheHierarchy uniqueName="[Measures].[Sum of Current Stock]" caption="Sum of Current Stock" measure="1" displayFolder="" measureGroup="Table1" count="0">
      <extLst>
        <ext xmlns:x15="http://schemas.microsoft.com/office/spreadsheetml/2010/11/main" uri="{B97F6D7D-B522-45F9-BDA1-12C45D357490}">
          <x15:cacheHierarchy aggregatedColumn="2"/>
        </ext>
      </extLst>
    </cacheHierarchy>
    <cacheHierarchy uniqueName="[Measures].[Sum of Reorder Level]" caption="Sum of Reorder Level" measure="1" displayFolder="" measureGroup="Table1" count="0">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0" count="0">
      <extLst>
        <ext xmlns:x15="http://schemas.microsoft.com/office/spreadsheetml/2010/11/main" uri="{B97F6D7D-B522-45F9-BDA1-12C45D357490}">
          <x15:cacheHierarchy aggregatedColumn="10"/>
        </ext>
      </extLst>
    </cacheHierarchy>
    <cacheHierarchy uniqueName="[Measures].[total sales]" caption="total sales" measure="1" displayFolder="" measureGroup="Table10" count="0"/>
    <cacheHierarchy uniqueName="[Measures].[total profit]" caption="total profit" measure="1" displayFolder="" measureGroup="Table10" count="0"/>
    <cacheHierarchy uniqueName="[Measures].[mprofit margin%]" caption="mprofit margin%" measure="1" displayFolder="" measureGroup="Table10" count="0"/>
    <cacheHierarchy uniqueName="[Measures].[avg order sales]" caption="avg order sales" measure="1" displayFolder="" measureGroup="Table10" count="0"/>
    <cacheHierarchy uniqueName="[Measures].[no of orders]" caption="no of orders" measure="1" displayFolder="" measureGroup="Table10" count="0"/>
    <cacheHierarchy uniqueName="[Measures].[no of cust]" caption="no of cust" measure="1" displayFolder="" measureGroup="Table10" count="0"/>
    <cacheHierarchy uniqueName="[Measures].[inv turnover]" caption="inv turnover" measure="1" displayFolder="" measureGroup="Table10" count="0"/>
    <cacheHierarchy uniqueName="[Measures].[target achivement]" caption="target achivement" measure="1" displayFolder="" measureGroup="Table10" count="0"/>
    <cacheHierarchy uniqueName="[Measures].[COUNT OF REPEAT]" caption="COUNT OF REPEAT" measure="1" displayFolder="" measureGroup="Table10" count="0"/>
    <cacheHierarchy uniqueName="[Measures].[cust retention %]" caption="cust retention %" measure="1" displayFolder="" measureGroup="Table10" count="0"/>
    <cacheHierarchy uniqueName="[Measures].[__XL_Count Table6]" caption="__XL_Count Table6" measure="1" displayFolder="" measureGroup="Table6" count="0" hidden="1"/>
    <cacheHierarchy uniqueName="[Measures].[__XL_Count Table5]" caption="__XL_Count Table5" measure="1" displayFolder="" measureGroup="Table5" count="0" hidden="1"/>
    <cacheHierarchy uniqueName="[Measures].[__XL_Count Table10]" caption="__XL_Count Table10" measure="1" displayFolder="" measureGroup="Table10"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10" caption="Table10"/>
    <measureGroup name="Table2" caption="Table2"/>
    <measureGroup name="Table5" caption="Table5"/>
    <measureGroup name="Table6" caption="Table6"/>
    <measureGroup name="Table7" caption="Table7"/>
    <measureGroup name="Table8" caption="Table8"/>
  </measureGroups>
  <maps count="14">
    <map measureGroup="0" dimension="1"/>
    <map measureGroup="0" dimension="5"/>
    <map measureGroup="1" dimension="2"/>
    <map measureGroup="1" dimension="3"/>
    <map measureGroup="1" dimension="4"/>
    <map measureGroup="1" dimension="5"/>
    <map measureGroup="1" dimension="7"/>
    <map measureGroup="2" dimension="3"/>
    <map measureGroup="2" dimension="7"/>
    <map measureGroup="3" dimension="4"/>
    <map measureGroup="4" dimension="5"/>
    <map measureGroup="5" dimension="5"/>
    <map measureGroup="5" dimension="6"/>
    <map measureGroup="6" dimension="7"/>
  </maps>
  <extLst>
    <ext xmlns:x14="http://schemas.microsoft.com/office/spreadsheetml/2009/9/main" uri="{725AE2AE-9491-48be-B2B4-4EB974FC3084}">
      <x14:pivotCacheDefinition slicerData="1" pivotCacheId="3760012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D9EB5-12FC-4C33-84E9-7ABFADED1562}" name="PivotTable9" cacheId="5" applyNumberFormats="0" applyBorderFormats="0" applyFontFormats="0" applyPatternFormats="0" applyAlignmentFormats="0" applyWidthHeightFormats="1" dataCaption="Values" tag="41deae11-eff4-43d5-b32c-a62e21e0c7be" updatedVersion="8" minRefreshableVersion="3" useAutoFormatting="1" subtotalHiddenItems="1" itemPrintTitles="1" createdVersion="8" indent="0" outline="1" outlineData="1" multipleFieldFilters="0" chartFormat="13">
  <location ref="X48:Y53" firstHeaderRow="1" firstDataRow="1" firstDataCol="1" rowPageCount="1" colPageCount="1"/>
  <pivotFields count="5">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pageFields count="1">
    <pageField fld="0" hier="4" name="[Table1].[Dead Stock].[All]" cap="All"/>
  </pageFields>
  <dataFields count="1">
    <dataField name="Sum of Current Stock"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gment].&amp;[Consumer]"/>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DC62A3-CFBE-4AE4-83CD-A9800612718F}" name="PivotTable8" cacheId="33" applyNumberFormats="0" applyBorderFormats="0" applyFontFormats="0" applyPatternFormats="0" applyAlignmentFormats="0" applyWidthHeightFormats="1" dataCaption="Values" tag="f18d9eb8-97d6-4cd5-ad16-70ca1af59737" updatedVersion="8" minRefreshableVersion="3" useAutoFormatting="1" subtotalHiddenItems="1" itemPrintTitles="1" createdVersion="8" indent="0" outline="1" outlineData="1" multipleFieldFilters="0" chartFormat="5">
  <location ref="A36:B40" firstHeaderRow="1" firstDataRow="1" firstDataCol="1"/>
  <pivotFields count="5">
    <pivotField dataField="1" subtotalTop="0" showAll="0" defaultSubtotal="0"/>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4">
    <i>
      <x/>
    </i>
    <i>
      <x v="1"/>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Month].&amp;[Jan]"/>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Table6].[Category].&amp;[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0]"/>
        <x15:activeTabTopLevelEntity name="[Table8]"/>
        <x15:activeTabTopLevelEntity name="[Table5]"/>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2C095-5626-428A-A31B-41B40E40BC97}" name="PivotTable7" cacheId="30" applyNumberFormats="0" applyBorderFormats="0" applyFontFormats="0" applyPatternFormats="0" applyAlignmentFormats="0" applyWidthHeightFormats="1" dataCaption="Values" tag="e877c878-db35-426d-bb8d-13ac7dcf8d9b" updatedVersion="8" minRefreshableVersion="3" useAutoFormatting="1" subtotalHiddenItems="1" itemPrintTitles="1" createdVersion="8" indent="0" outline="1" outlineData="1" multipleFieldFilters="0" chartFormat="7">
  <location ref="A28:B3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Month].&amp;[Jan]"/>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Table6].[Category].&amp;[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0]"/>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964649-3C20-43AF-9F03-0989400E0779}" name="PivotTable1" cacheId="9" applyNumberFormats="0" applyBorderFormats="0" applyFontFormats="0" applyPatternFormats="0" applyAlignmentFormats="0" applyWidthHeightFormats="1" dataCaption="Values" tag="02830fd0-d10a-4e4b-9e18-d2745e06d9e8" updatedVersion="8" minRefreshableVersion="3" useAutoFormatting="1" subtotalHiddenItems="1" itemPrintTitles="1" createdVersion="8" indent="0" outline="1" outlineData="1" multipleFieldFilters="0" chartFormat="6">
  <location ref="M1:N12"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Table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7726C8-2050-40F8-A340-F0DD9AB9577D}" name="PivotTable12" cacheId="11" applyNumberFormats="0" applyBorderFormats="0" applyFontFormats="0" applyPatternFormats="0" applyAlignmentFormats="0" applyWidthHeightFormats="1" dataCaption="Values" tag="b34c9947-8144-4ca0-8056-f0faa750e233" updatedVersion="8" minRefreshableVersion="3" useAutoFormatting="1" itemPrintTitles="1" createdVersion="8" indent="0" outline="1" outlineData="1" multipleFieldFilters="0">
  <location ref="AR35:AZ36"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6].[Category].&amp;[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0]"/>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AC53EC-749B-4A61-87EF-E2798688BCD4}" name="PivotTable6" cacheId="4" applyNumberFormats="0" applyBorderFormats="0" applyFontFormats="0" applyPatternFormats="0" applyAlignmentFormats="0" applyWidthHeightFormats="1" dataCaption="Values" tag="f5b8f54f-d7a8-4e1c-be03-53f5ced52dc6" updatedVersion="8" minRefreshableVersion="3" useAutoFormatting="1" itemPrintTitles="1" createdVersion="8" indent="0" outline="1" outlineData="1" multipleFieldFilters="0" chartFormat="14">
  <location ref="AB3:AC8"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3" name="[Table1].[Reorder status].[All]" cap="All"/>
  </pageFields>
  <dataFields count="1">
    <dataField name="Sum of Current Stock"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gment].&amp;[Consumer]"/>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24E517-09D8-45C5-9028-B27C3839934B}" name="PivotTable3" cacheId="27" applyNumberFormats="0" applyBorderFormats="0" applyFontFormats="0" applyPatternFormats="0" applyAlignmentFormats="0" applyWidthHeightFormats="1" dataCaption="Values" tag="17430890-c21c-42f5-b7c3-38031fcf97e8" updatedVersion="8" minRefreshableVersion="3" useAutoFormatting="1" subtotalHiddenItems="1" itemPrintTitles="1" createdVersion="8" indent="0" outline="1" outlineData="1" multipleFieldFilters="0" chartFormat="9">
  <location ref="A3:B9" firstHeaderRow="1" firstDataRow="1" firstDataCol="1"/>
  <pivotFields count="4">
    <pivotField axis="axisRow" allDrilled="1" showAll="0" dataSourceSort="1" defaultAttributeDrillState="1">
      <items count="6">
        <item x="0"/>
        <item x="1"/>
        <item x="2"/>
        <item x="3"/>
        <item x="4"/>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4">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2].[Month].&amp;[Jan]"/>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Table6].[Category].&amp;[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0]"/>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51B089-4C33-4CD3-8F4D-B95DAB617FD7}" name="PivotTable10" cacheId="10" applyNumberFormats="0" applyBorderFormats="0" applyFontFormats="0" applyPatternFormats="0" applyAlignmentFormats="0" applyWidthHeightFormats="1" dataCaption="Values" tag="38b13140-b7b2-4d0a-91ad-b235dcfabd98" updatedVersion="8" minRefreshableVersion="3" useAutoFormatting="1" itemPrintTitles="1" createdVersion="8" indent="0" outline="1" outlineData="1" multipleFieldFilters="0" chartFormat="13">
  <location ref="AO1:AP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0]"/>
        <x15:activeTabTopLevelEntity name="[Table5]"/>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EFA58C-9AE9-463C-AD61-006405901ADA}" name="PivotTable5" cacheId="3" applyNumberFormats="0" applyBorderFormats="0" applyFontFormats="0" applyPatternFormats="0" applyAlignmentFormats="0" applyWidthHeightFormats="1" dataCaption="Values" tag="a5d59c9c-5fcf-460c-a7a4-e18a24387c6c" updatedVersion="8" minRefreshableVersion="3" useAutoFormatting="1" subtotalHiddenItems="1" itemPrintTitles="1" createdVersion="8" indent="0" outline="1" outlineData="1" multipleFieldFilters="0" chartFormat="9">
  <location ref="X2:Z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11">
    <i>
      <x/>
    </i>
    <i r="1">
      <x/>
    </i>
    <i r="1">
      <x v="1"/>
    </i>
    <i r="1">
      <x v="2"/>
    </i>
    <i r="1">
      <x v="3"/>
    </i>
    <i>
      <x v="1"/>
    </i>
    <i r="1">
      <x/>
    </i>
    <i r="1">
      <x v="1"/>
    </i>
    <i r="1">
      <x v="2"/>
    </i>
    <i r="1">
      <x v="3"/>
    </i>
    <i t="grand">
      <x/>
    </i>
  </rowItems>
  <colFields count="1">
    <field x="-2"/>
  </colFields>
  <colItems count="2">
    <i>
      <x/>
    </i>
    <i i="1">
      <x v="1"/>
    </i>
  </colItems>
  <dataFields count="2">
    <dataField name="Current Stock" fld="0" baseField="0" baseItem="0"/>
    <dataField name="Reorder Level"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Segment].&amp;[Consumer]"/>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urrent Stock"/>
    <pivotHierarchy dragToData="1" caption="Reorder Level"/>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BDABBC-9D7B-4DFB-97E3-A9FC8CE27EC0}" name="PivotTable2" cacheId="8" applyNumberFormats="0" applyBorderFormats="0" applyFontFormats="0" applyPatternFormats="0" applyAlignmentFormats="0" applyWidthHeightFormats="1" dataCaption="Values" tag="1f709b72-b0ac-4f0e-a40b-6bb9590d3213" updatedVersion="8" minRefreshableVersion="3" useAutoFormatting="1" subtotalHiddenItems="1" itemPrintTitles="1" createdVersion="8" indent="0" outline="1" outlineData="1" multipleFieldFilters="0" chartFormat="7">
  <location ref="M14:N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Table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7C3CF9-641C-4BBB-9872-10EEA833D0EB}" name="PivotTable11" cacheId="6" applyNumberFormats="0" applyBorderFormats="0" applyFontFormats="0" applyPatternFormats="0" applyAlignmentFormats="0" applyWidthHeightFormats="1" dataCaption="Values" tag="2d7f0fca-9e28-466a-81b6-22caa3daa862" updatedVersion="8" minRefreshableVersion="3" useAutoFormatting="1" itemPrintTitles="1" createdVersion="8" indent="0" outline="1" outlineData="1" multipleFieldFilters="0" chartFormat="6">
  <location ref="AO17:AP2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activeTabTopLevelEntity name="[Table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F9EA44-47AE-4D74-8799-5D758446782C}" name="PivotTable4" cacheId="7" applyNumberFormats="0" applyBorderFormats="0" applyFontFormats="0" applyPatternFormats="0" applyAlignmentFormats="0" applyWidthHeightFormats="1" dataCaption="Values" tag="d46d998f-992d-4947-b426-b9adadc347eb" updatedVersion="8" minRefreshableVersion="3" useAutoFormatting="1" subtotalHiddenItems="1" itemPrintTitles="1" createdVersion="8" indent="0" outline="1" outlineData="1" multipleFieldFilters="0" chartFormat="3">
  <location ref="M34:Q36" firstHeaderRow="1" firstDataRow="2" firstDataCol="1" rowPageCount="1" colPageCount="1"/>
  <pivotFields count="4">
    <pivotField axis="axisPage"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Items count="1">
    <i/>
  </rowItems>
  <colFields count="1">
    <field x="2"/>
  </colFields>
  <colItems count="4">
    <i>
      <x/>
    </i>
    <i>
      <x v="1"/>
    </i>
    <i>
      <x v="2"/>
    </i>
    <i t="grand">
      <x/>
    </i>
  </colItems>
  <pageFields count="1">
    <pageField fld="0" hier="15" name="[Table10].[cust type].&amp;[Repeat]" cap="Repeat"/>
  </pageFields>
  <dataFields count="1">
    <dataField name="Count of CustomerID" fld="1" subtotal="count"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10].[cust type].&amp;[Repeat]"/>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0]"/>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107FDC5-802B-4C42-92F2-7739B48EABE7}" sourceName="[Table10].[Date (Month)]">
  <pivotTables>
    <pivotTable tabId="9" name="PivotTable3"/>
    <pivotTable tabId="9" name="PivotTable7"/>
    <pivotTable tabId="9" name="PivotTable8"/>
  </pivotTables>
  <data>
    <olap pivotCacheId="911153117">
      <levels count="2">
        <level uniqueName="[Table10].[Date (Month)].[(All)]" sourceCaption="(All)" count="0"/>
        <level uniqueName="[Table10].[Date (Month)].[Date (Month)]" sourceCaption="Date (Month)" count="3">
          <ranges>
            <range startItem="0">
              <i n="[Table10].[Date (Month)].&amp;[Jan]" c="Jan"/>
              <i n="[Table10].[Date (Month)].&amp;[Feb]" c="Feb"/>
              <i n="[Table10].[Date (Month)].&amp;[Mar]" c="Mar"/>
            </range>
          </ranges>
        </level>
      </levels>
      <selections count="1">
        <selection n="[Table10].[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73CB2D-F27A-424D-94CC-AF2C3DD1594C}" sourceName="[Table5].[region]">
  <pivotTables>
    <pivotTable tabId="9" name="PivotTable3"/>
    <pivotTable tabId="9" name="PivotTable7"/>
    <pivotTable tabId="9" name="PivotTable8"/>
  </pivotTables>
  <data>
    <olap pivotCacheId="911153117">
      <levels count="2">
        <level uniqueName="[Table5].[region].[(All)]" sourceCaption="(All)" count="0"/>
        <level uniqueName="[Table5].[region].[region]" sourceCaption="region" count="5">
          <ranges>
            <range startItem="0">
              <i n="[Table5].[region].&amp;[Central]" c="Central"/>
              <i n="[Table5].[region].&amp;[East]" c="East"/>
              <i n="[Table5].[region].&amp;[North]" c="North"/>
              <i n="[Table5].[region].&amp;[South]" c="South"/>
              <i n="[Table5].[region].&amp;[West]" c="West" nd="1"/>
            </range>
          </ranges>
        </level>
      </levels>
      <selections count="1">
        <selection n="[Table5].[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55FED7-6389-4276-BBFA-8DB6C80E0E81}" sourceName="[Table6].[Category]">
  <pivotTables>
    <pivotTable tabId="9" name="PivotTable3"/>
    <pivotTable tabId="9" name="PivotTable7"/>
    <pivotTable tabId="9" name="PivotTable8"/>
  </pivotTables>
  <data>
    <olap pivotCacheId="911153117">
      <levels count="2">
        <level uniqueName="[Table6].[Category].[(All)]" sourceCaption="(All)" count="0"/>
        <level uniqueName="[Table6].[Category].[Category]" sourceCaption="Category" count="5">
          <ranges>
            <range startItem="0">
              <i n="[Table6].[Category].&amp;[Appliances]" c="Appliances"/>
              <i n="[Table6].[Category].&amp;[Electronics]" c="Electronics"/>
              <i n="[Table6].[Category].&amp;[Furniture]" c="Furniture"/>
              <i n="[Table6].[Category].&amp;[Office]" c="Office"/>
              <i n="[Table6].[Category].&amp;" c="(blank)" nd="1"/>
            </range>
          </ranges>
        </level>
      </levels>
      <selections count="1">
        <selection n="[Table6].[Category].&amp;[Applianc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76B7A278-BFAA-404C-A879-C2DAB47E6F76}" sourceName="[Table10].[Date (Month)]">
  <pivotTables>
    <pivotTable tabId="9" name="PivotTable1"/>
    <pivotTable tabId="9" name="PivotTable2"/>
    <pivotTable tabId="9" name="PivotTable4"/>
  </pivotTables>
  <data>
    <olap pivotCacheId="513246487">
      <levels count="2">
        <level uniqueName="[Table10].[Date (Month)].[(All)]" sourceCaption="(All)" count="0"/>
        <level uniqueName="[Table10].[Date (Month)].[Date (Month)]" sourceCaption="Date (Month)" count="3">
          <ranges>
            <range startItem="0">
              <i n="[Table10].[Date (Month)].&amp;[Jan]" c="Jan"/>
              <i n="[Table10].[Date (Month)].&amp;[Feb]" c="Feb"/>
              <i n="[Table10].[Date (Month)].&amp;[Mar]" c="Mar"/>
            </range>
          </ranges>
        </level>
      </levels>
      <selections count="1">
        <selection n="[Table10].[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0B5B7C-7E08-4DAD-8CAE-7A63266E5F0D}" sourceName="[Table5].[Segment]">
  <pivotTables>
    <pivotTable tabId="9" name="PivotTable1"/>
    <pivotTable tabId="9" name="PivotTable2"/>
    <pivotTable tabId="9" name="PivotTable4"/>
  </pivotTables>
  <data>
    <olap pivotCacheId="513246487">
      <levels count="2">
        <level uniqueName="[Table5].[Segment].[(All)]" sourceCaption="(All)" count="0"/>
        <level uniqueName="[Table5].[Segment].[Segment]" sourceCaption="Segment" count="3">
          <ranges>
            <range startItem="0">
              <i n="[Table5].[Segment].&amp;[Consumer]" c="Consumer"/>
              <i n="[Table5].[Segment].&amp;[Corporate]" c="Corporate"/>
              <i n="[Table5].[Segment].&amp;[Home]" c="Home"/>
            </range>
          </ranges>
        </level>
      </levels>
      <selections count="1">
        <selection n="[Table5].[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F380022-63E5-4F33-9886-FA8893813FEB}" sourceName="[Table6].[Category]">
  <pivotTables>
    <pivotTable tabId="9" name="PivotTable5"/>
    <pivotTable tabId="9" name="PivotTable6"/>
    <pivotTable tabId="9" name="PivotTable9"/>
  </pivotTables>
  <data>
    <olap pivotCacheId="1298135263">
      <levels count="2">
        <level uniqueName="[Table6].[Category].[(All)]" sourceCaption="(All)" count="0"/>
        <level uniqueName="[Table6].[Category].[Category]" sourceCaption="Category" count="5">
          <ranges>
            <range startItem="0">
              <i n="[Table6].[Category].&amp;[Appliances]" c="Appliances"/>
              <i n="[Table6].[Category].&amp;[Electronics]" c="Electronics"/>
              <i n="[Table6].[Category].&amp;[Furniture]" c="Furniture"/>
              <i n="[Table6].[Category].&amp;[Office]" c="Office"/>
              <i n="[Table6].[Category].&amp;" c="(blank)" nd="1"/>
            </range>
          </ranges>
        </level>
      </levels>
      <selections count="1">
        <selection n="[Table6].[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2" xr10:uid="{D90AB332-7B1C-4BFE-8481-B0612DC8970A}" sourceName="[Table10].[Date (Month)]">
  <pivotTables>
    <pivotTable tabId="9" name="PivotTable10"/>
    <pivotTable tabId="9" name="PivotTable11"/>
  </pivotTables>
  <data>
    <olap pivotCacheId="513246487">
      <levels count="2">
        <level uniqueName="[Table10].[Date (Month)].[(All)]" sourceCaption="(All)" count="0"/>
        <level uniqueName="[Table10].[Date (Month)].[Date (Month)]" sourceCaption="Date (Month)" count="3">
          <ranges>
            <range startItem="0">
              <i n="[Table10].[Date (Month)].&amp;[Jan]" c="Jan"/>
              <i n="[Table10].[Date (Month)].&amp;[Feb]" c="Feb"/>
              <i n="[Table10].[Date (Month)].&amp;[Mar]" c="Mar"/>
            </range>
          </ranges>
        </level>
      </levels>
      <selections count="1">
        <selection n="[Table10].[Date (Month)].[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CF6CC5A2-8A70-4857-B089-F38F111650AB}" sourceName="[Table5].[region]">
  <pivotTables>
    <pivotTable tabId="9" name="PivotTable4"/>
    <pivotTable tabId="9" name="PivotTable2"/>
    <pivotTable tabId="9" name="PivotTable1"/>
    <pivotTable tabId="9" name="PivotTable10"/>
  </pivotTables>
  <data>
    <olap pivotCacheId="513246487">
      <levels count="2">
        <level uniqueName="[Table5].[region].[(All)]" sourceCaption="(All)" count="0"/>
        <level uniqueName="[Table5].[region].[region]" sourceCaption="region" count="5">
          <ranges>
            <range startItem="0">
              <i n="[Table5].[region].&amp;[South]" c="South"/>
              <i n="[Table5].[region].&amp;[Central]" c="Central"/>
              <i n="[Table5].[region].&amp;[East]" c="East"/>
              <i n="[Table5].[region].&amp;[North]" c="North"/>
              <i n="[Table5].[region].&amp;[West]" c="West"/>
            </range>
          </ranges>
        </level>
      </levels>
      <selections count="1">
        <selection n="[Table5].[reg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DD70B513-18D4-4BBE-B52C-A3CACF908A01}" sourceName="[Table6].[Category]">
  <pivotTables>
    <pivotTable tabId="9" name="PivotTable10"/>
    <pivotTable tabId="9" name="PivotTable11"/>
  </pivotTables>
  <data>
    <olap pivotCacheId="513246487">
      <levels count="2">
        <level uniqueName="[Table6].[Category].[(All)]" sourceCaption="(All)" count="0"/>
        <level uniqueName="[Table6].[Category].[Category]" sourceCaption="Category" count="5">
          <ranges>
            <range startItem="0">
              <i n="[Table6].[Category].&amp;[Appliances]" c="Appliances"/>
              <i n="[Table6].[Category].&amp;[Electronics]" c="Electronics"/>
              <i n="[Table6].[Category].&amp;[Furniture]" c="Furniture"/>
              <i n="[Table6].[Category].&amp;[Office]" c="Office"/>
              <i n="[Table6].[Category].&amp;" c="(blank)" nd="1"/>
            </range>
          </ranges>
        </level>
      </levels>
      <selections count="1">
        <selection n="[Table6].[Categor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3" xr10:uid="{142AFE4C-8AD2-4A4B-BAAB-661ACBCA6CD8}" sourceName="[Table10].[Date (Month)]">
  <pivotTables>
    <pivotTable tabId="9" name="PivotTable12"/>
  </pivotTables>
  <data>
    <olap pivotCacheId="376001210">
      <levels count="2">
        <level uniqueName="[Table10].[Date (Month)].[(All)]" sourceCaption="(All)" count="0"/>
        <level uniqueName="[Table10].[Date (Month)].[Date (Month)]" sourceCaption="Date (Month)" count="3">
          <ranges>
            <range startItem="0">
              <i n="[Table10].[Date (Month)].&amp;[Jan]" c="Jan"/>
              <i n="[Table10].[Date (Month)].&amp;[Feb]" c="Feb"/>
              <i n="[Table10].[Date (Month)].&amp;[Mar]" c="Mar"/>
            </range>
          </ranges>
        </level>
      </levels>
      <selections count="1">
        <selection n="[Table10].[Date (Month)].[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D0856C4-E222-4C4B-9CE1-5EE245D0730C}" sourceName="[Table5].[region]">
  <pivotTables>
    <pivotTable tabId="9" name="PivotTable12"/>
  </pivotTables>
  <data>
    <olap pivotCacheId="376001210">
      <levels count="2">
        <level uniqueName="[Table5].[region].[(All)]" sourceCaption="(All)" count="0"/>
        <level uniqueName="[Table5].[region].[region]" sourceCaption="region" count="5">
          <ranges>
            <range startItem="0">
              <i n="[Table5].[region].&amp;[Central]" c="Central"/>
              <i n="[Table5].[region].&amp;[East]" c="East"/>
              <i n="[Table5].[region].&amp;[North]" c="North"/>
              <i n="[Table5].[region].&amp;[South]" c="South"/>
              <i n="[Table5].[region].&amp;[West]" c="West"/>
            </range>
          </ranges>
        </level>
      </levels>
      <selections count="1">
        <selection n="[Table5].[region].[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rder_status" xr10:uid="{019121F8-ED86-49FB-9892-58E8C7F07DD5}" sourceName="[Table1].[Reorder status]">
  <pivotTables>
    <pivotTable tabId="9" name="PivotTable5"/>
    <pivotTable tabId="9" name="PivotTable6"/>
    <pivotTable tabId="9" name="PivotTable9"/>
  </pivotTables>
  <data>
    <olap pivotCacheId="376001210">
      <levels count="2">
        <level uniqueName="[Table1].[Reorder status].[(All)]" sourceCaption="(All)" count="0"/>
        <level uniqueName="[Table1].[Reorder status].[Reorder status]" sourceCaption="Reorder status" count="2">
          <ranges>
            <range startItem="0">
              <i n="[Table1].[Reorder status].&amp;[Ok]" c="Ok"/>
              <i n="[Table1].[Reorder status].&amp;[Reorder]" c="Reorder"/>
            </range>
          </ranges>
        </level>
      </levels>
      <selections count="1">
        <selection n="[Table1].[Reorder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3" xr10:uid="{E3EB5C20-8F8B-43E1-9C5A-9BC6BE770BD5}" cache="Slicer_Date__Month3" caption="Date (Month)" level="1" rowHeight="247650"/>
  <slicer name="region 3" xr10:uid="{938D11F9-8BA3-44CF-9AF9-BD6947C3814B}" cache="Slicer_region1"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5995B8-9A04-465D-A824-C46017ACC515}" cache="Slicer_Date__Month" caption="Date (Month)" level="1" rowHeight="247650"/>
  <slicer name="region" xr10:uid="{E1363DCF-4B1A-4BF7-AC8A-93324A870034}" cache="Slicer_region" caption="region" level="1" rowHeight="247650"/>
  <slicer name="Category" xr10:uid="{B22B50D0-DD0C-4B68-BE75-87F72ECDCEC6}" cache="Slicer_Category" caption="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DA2E630-D233-40D8-BBEC-912F2A55AD84}" cache="Slicer_Date__Month1" caption="Date (Month)" level="1" rowHeight="247650"/>
  <slicer name="Segment" xr10:uid="{24C2D66B-CE00-4FC8-B053-A9B93474535C}" cache="Slicer_Segment" caption="Segment" level="1" rowHeight="247650"/>
  <slicer name="region 1" xr10:uid="{CC6DDA29-1AE8-43B4-94A1-7A2D70EF6CAA}" cache="Slicer_region2" caption="region"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73394F8-4C5E-4F7A-AD2D-99C2E24BC44B}" cache="Slicer_Category1" caption="Category" level="1" rowHeight="247650"/>
  <slicer name="Reorder status" xr10:uid="{B2CC94D2-FF80-4CFF-BFE1-5851B0FADB16}" cache="Slicer_Reorder_status" caption="Reorder status"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F49E71C3-8F81-4EA3-B0BC-9893873179BD}" cache="Slicer_Date__Month2" caption="Date (Month)" level="1" rowHeight="247650"/>
  <slicer name="region 2" xr10:uid="{E9C77AC7-E50A-4F08-9599-BE66394BE2FB}" cache="Slicer_region2" caption="region" level="1" rowHeight="247650"/>
  <slicer name="Category 2" xr10:uid="{A1716DAE-C32A-432A-9CEA-748FFD643673}" cache="Slicer_Category2" caption="Catego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278022-2F1B-4149-B1F9-C60094C75B39}" name="Table5" displayName="Table5" ref="A1:F25" totalsRowShown="0" headerRowDxfId="31" dataDxfId="30">
  <autoFilter ref="A1:F25" xr:uid="{90278022-2F1B-4149-B1F9-C60094C75B39}"/>
  <tableColumns count="6">
    <tableColumn id="1" xr3:uid="{3CA4317E-A17D-4EC8-9D62-B2000AE5A783}" name="CustomerID" dataDxfId="29"/>
    <tableColumn id="2" xr3:uid="{6E511D66-0058-4188-BCC3-F7F20A12472B}" name="Name" dataDxfId="28"/>
    <tableColumn id="3" xr3:uid="{7F823E07-CC8D-4BCB-B648-A3EAF8896744}" name="City" dataDxfId="27"/>
    <tableColumn id="4" xr3:uid="{250F7592-68E0-41B4-A51B-D1D62B8D1B72}" name="State" dataDxfId="26"/>
    <tableColumn id="5" xr3:uid="{FAE744E9-A57F-4747-943C-BEE4F1E94D3A}" name="Segment" dataDxfId="25"/>
    <tableColumn id="6" xr3:uid="{0BF68C2B-93A6-4386-B512-332B4CD789F1}" name="region"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9D61D6-73C7-449F-92F2-70A17037143F}" name="Table6" displayName="Table6" ref="A1:D22" totalsRowShown="0" headerRowDxfId="23" dataDxfId="22">
  <autoFilter ref="A1:D22" xr:uid="{219D61D6-73C7-449F-92F2-70A17037143F}"/>
  <tableColumns count="4">
    <tableColumn id="1" xr3:uid="{12DBB414-0255-4A07-9EE0-E6EFA490E44A}" name="ProductID" dataDxfId="21"/>
    <tableColumn id="2" xr3:uid="{3C7F21F8-FF6D-41F8-AD77-C0E614DBA43E}" name="Product Name" dataDxfId="20"/>
    <tableColumn id="3" xr3:uid="{A89E70E6-6EEA-4972-A70D-F94C026878A4}" name="Category" dataDxfId="19"/>
    <tableColumn id="4" xr3:uid="{46FF0322-15A2-4933-AA24-97AC9F90B0A5}" name="Cost Pric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BAA3F6-7A76-4D58-8AF7-DBCE3CC720D5}" name="Table10" displayName="Table10" ref="A1:J30" totalsRowShown="0" headerRowDxfId="17" dataDxfId="16">
  <autoFilter ref="A1:J30" xr:uid="{F3BAA3F6-7A76-4D58-8AF7-DBCE3CC720D5}"/>
  <tableColumns count="10">
    <tableColumn id="1" xr3:uid="{C644B52B-968A-4006-AA21-8AE2F7339F35}" name="OrderID" dataDxfId="15"/>
    <tableColumn id="2" xr3:uid="{11CDC9F3-EECF-4D2B-A3C6-A6C3BAAE6947}" name="Date" dataDxfId="14"/>
    <tableColumn id="3" xr3:uid="{B17CB29A-720C-4517-80E2-341528DABCB5}" name="CustomerID" dataDxfId="13"/>
    <tableColumn id="4" xr3:uid="{16D022F6-BA17-44D4-AF6F-C083E194D051}" name="ProductID" dataDxfId="12"/>
    <tableColumn id="5" xr3:uid="{30BE8480-768B-4449-B453-53CC309E5BCD}" name="Quantity" dataDxfId="11"/>
    <tableColumn id="6" xr3:uid="{175484A9-ABAC-45D1-B992-056D050F6182}" name="Sales" dataDxfId="10"/>
    <tableColumn id="7" xr3:uid="{7A618142-AA21-40A8-A094-D06D36B0B46F}" name="Profit" dataDxfId="9">
      <calculatedColumnFormula>Table10[[#This Row],[Sales]] - (Table10[[#This Row],[Quantity]] * _xlfn.XLOOKUP(Table10[[#This Row],[ProductID]], Table6[ProductID], Table6[Cost Price]))</calculatedColumnFormula>
    </tableColumn>
    <tableColumn id="8" xr3:uid="{C2FA8037-389C-40A5-83F6-EC0D4436F3B2}" name="margin per order" dataDxfId="8">
      <calculatedColumnFormula>Table10[[#This Row],[Profit]]/Table10[[#This Row],[Sales]]</calculatedColumnFormula>
    </tableColumn>
    <tableColumn id="9" xr3:uid="{2031B5C3-A4CE-4C31-89C1-23E2D7329AB2}" name="count of orders" dataDxfId="7">
      <calculatedColumnFormula>COUNTIFS(Table10[CustomerID],Table10[[#This Row],[CustomerID]])</calculatedColumnFormula>
    </tableColumn>
    <tableColumn id="10" xr3:uid="{4056B8CE-5688-408C-97A0-7C68686B8386}" name="cust type" dataDxfId="6">
      <calculatedColumnFormula>IF(Table10[[#This Row],[count of orders]]&gt;1,"Repeat","New")</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316074C-DC5A-40E6-B3A3-85798031C75A}" name="Table8" displayName="Table8" ref="A1:B4" totalsRowShown="0" headerRowDxfId="5">
  <autoFilter ref="A1:B4" xr:uid="{E316074C-DC5A-40E6-B3A3-85798031C75A}"/>
  <tableColumns count="2">
    <tableColumn id="1" xr3:uid="{DE916631-F49C-4C28-A1DC-3E6CE55F5DA4}" name="Month" dataDxfId="4"/>
    <tableColumn id="2" xr3:uid="{E479BDF0-A359-4B1C-A428-C3C97960C26A}" name="Target Sales"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BBA09-D3D6-4DF7-9986-220ACF186149}" name="Table1" displayName="Table1" ref="A1:E22" totalsRowShown="0">
  <autoFilter ref="A1:E22" xr:uid="{E7DBBA09-D3D6-4DF7-9986-220ACF186149}"/>
  <tableColumns count="5">
    <tableColumn id="1" xr3:uid="{ABA8CFCE-A0ED-4A2D-8A31-E022050CD42E}" name="ProductID"/>
    <tableColumn id="2" xr3:uid="{BC10B9BE-E9BC-4B60-8DFF-F36D3CC6B129}" name="Current Stock"/>
    <tableColumn id="3" xr3:uid="{831BB4DB-3BD7-4B14-98A8-3D16A6474673}" name="Reorder Level"/>
    <tableColumn id="4" xr3:uid="{C60CC694-EAAC-4C5F-A01F-09D24E2B596B}" name="Reorder status" dataDxfId="2">
      <calculatedColumnFormula>IF(Table1[[#This Row],[Reorder Level]]&lt;Table1[[#This Row],[Current Stock]],"Reorder","Ok")</calculatedColumnFormula>
    </tableColumn>
    <tableColumn id="5" xr3:uid="{81601BEA-E485-4778-9B87-E324217483B0}" name="Dead Stock" dataDxfId="1">
      <calculatedColumnFormula>IF(Table1[[#This Row],[Current Stock]]=0,"Dead","Active")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F0F9B6-3A09-4A61-BD9D-B7E69E140A83}" name="Table2" displayName="Table2" ref="A1:C4" totalsRowShown="0">
  <autoFilter ref="A1:C4" xr:uid="{8FF0F9B6-3A09-4A61-BD9D-B7E69E140A83}"/>
  <tableColumns count="3">
    <tableColumn id="1" xr3:uid="{5E03D9FA-BD7E-452C-BEF7-4FE7265565E9}" name="DateKey" dataDxfId="0"/>
    <tableColumn id="2" xr3:uid="{AF72102B-3731-4D54-892D-E79D6C435BDE}" name="Month">
      <calculatedColumnFormula>TEXT(A2,"MMM")</calculatedColumnFormula>
    </tableColumn>
    <tableColumn id="3" xr3:uid="{CE9BCDF8-6759-41B4-BF41-71D6D53AFB80}"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5685-F04C-4A4C-AB29-48A0E7C34097}">
  <dimension ref="A1:H32"/>
  <sheetViews>
    <sheetView zoomScale="89" workbookViewId="0">
      <selection activeCell="I14" sqref="I14"/>
    </sheetView>
  </sheetViews>
  <sheetFormatPr defaultRowHeight="14.4" x14ac:dyDescent="0.3"/>
  <cols>
    <col min="1" max="1" width="12.5546875" customWidth="1"/>
    <col min="2" max="2" width="17.88671875" customWidth="1"/>
    <col min="3" max="3" width="12.5546875" customWidth="1"/>
    <col min="4" max="4" width="11" customWidth="1"/>
    <col min="5" max="5" width="10.109375" customWidth="1"/>
  </cols>
  <sheetData>
    <row r="1" spans="1:8" x14ac:dyDescent="0.3">
      <c r="A1" s="1" t="s">
        <v>2</v>
      </c>
      <c r="B1" s="1" t="s">
        <v>81</v>
      </c>
      <c r="C1" s="1" t="s">
        <v>82</v>
      </c>
      <c r="D1" s="1" t="s">
        <v>83</v>
      </c>
      <c r="E1" s="1" t="s">
        <v>84</v>
      </c>
      <c r="F1" s="1" t="s">
        <v>182</v>
      </c>
    </row>
    <row r="2" spans="1:8" x14ac:dyDescent="0.3">
      <c r="A2" s="1" t="s">
        <v>8</v>
      </c>
      <c r="B2" s="3" t="s">
        <v>85</v>
      </c>
      <c r="C2" s="3" t="s">
        <v>86</v>
      </c>
      <c r="D2" s="3" t="s">
        <v>87</v>
      </c>
      <c r="E2" s="3" t="s">
        <v>88</v>
      </c>
      <c r="F2" s="3" t="s">
        <v>183</v>
      </c>
      <c r="G2" s="1"/>
    </row>
    <row r="3" spans="1:8" x14ac:dyDescent="0.3">
      <c r="A3" s="1" t="s">
        <v>11</v>
      </c>
      <c r="B3" s="3" t="s">
        <v>89</v>
      </c>
      <c r="C3" s="3" t="s">
        <v>90</v>
      </c>
      <c r="D3" s="3" t="s">
        <v>91</v>
      </c>
      <c r="E3" s="3" t="s">
        <v>92</v>
      </c>
      <c r="F3" s="3" t="s">
        <v>183</v>
      </c>
      <c r="G3" s="3"/>
    </row>
    <row r="4" spans="1:8" x14ac:dyDescent="0.3">
      <c r="A4" s="1" t="s">
        <v>14</v>
      </c>
      <c r="B4" s="3" t="s">
        <v>93</v>
      </c>
      <c r="C4" s="3" t="s">
        <v>94</v>
      </c>
      <c r="D4" s="3" t="s">
        <v>95</v>
      </c>
      <c r="E4" s="3" t="s">
        <v>88</v>
      </c>
      <c r="F4" s="3" t="s">
        <v>183</v>
      </c>
      <c r="G4" s="3"/>
    </row>
    <row r="5" spans="1:8" ht="28.8" x14ac:dyDescent="0.3">
      <c r="A5" s="1" t="s">
        <v>19</v>
      </c>
      <c r="B5" s="3" t="s">
        <v>96</v>
      </c>
      <c r="C5" s="3" t="s">
        <v>97</v>
      </c>
      <c r="D5" s="3" t="s">
        <v>98</v>
      </c>
      <c r="E5" s="3" t="s">
        <v>99</v>
      </c>
      <c r="F5" s="3" t="s">
        <v>184</v>
      </c>
      <c r="G5" s="3"/>
      <c r="H5" s="4"/>
    </row>
    <row r="6" spans="1:8" ht="28.8" x14ac:dyDescent="0.3">
      <c r="A6" s="1" t="s">
        <v>22</v>
      </c>
      <c r="B6" s="3" t="s">
        <v>100</v>
      </c>
      <c r="C6" s="3" t="s">
        <v>101</v>
      </c>
      <c r="D6" s="3" t="s">
        <v>98</v>
      </c>
      <c r="E6" s="3" t="s">
        <v>88</v>
      </c>
      <c r="F6" s="3" t="s">
        <v>184</v>
      </c>
      <c r="G6" s="3"/>
    </row>
    <row r="7" spans="1:8" x14ac:dyDescent="0.3">
      <c r="A7" s="1" t="s">
        <v>25</v>
      </c>
      <c r="B7" s="3" t="s">
        <v>102</v>
      </c>
      <c r="C7" s="3" t="s">
        <v>103</v>
      </c>
      <c r="D7" s="3" t="s">
        <v>103</v>
      </c>
      <c r="E7" s="3" t="s">
        <v>92</v>
      </c>
      <c r="F7" s="3" t="s">
        <v>185</v>
      </c>
      <c r="G7" s="3"/>
    </row>
    <row r="8" spans="1:8" x14ac:dyDescent="0.3">
      <c r="A8" s="1" t="s">
        <v>28</v>
      </c>
      <c r="B8" s="3" t="s">
        <v>104</v>
      </c>
      <c r="C8" s="3" t="s">
        <v>105</v>
      </c>
      <c r="D8" s="3" t="s">
        <v>106</v>
      </c>
      <c r="E8" s="3" t="s">
        <v>88</v>
      </c>
      <c r="F8" s="3" t="s">
        <v>185</v>
      </c>
      <c r="G8" s="3"/>
    </row>
    <row r="9" spans="1:8" x14ac:dyDescent="0.3">
      <c r="A9" s="1" t="s">
        <v>33</v>
      </c>
      <c r="B9" s="3" t="s">
        <v>107</v>
      </c>
      <c r="C9" s="3" t="s">
        <v>108</v>
      </c>
      <c r="D9" s="3" t="s">
        <v>109</v>
      </c>
      <c r="E9" s="3" t="s">
        <v>99</v>
      </c>
      <c r="F9" s="3" t="s">
        <v>183</v>
      </c>
      <c r="G9" s="3"/>
    </row>
    <row r="10" spans="1:8" x14ac:dyDescent="0.3">
      <c r="A10" s="1" t="s">
        <v>36</v>
      </c>
      <c r="B10" s="3" t="s">
        <v>110</v>
      </c>
      <c r="C10" s="3" t="s">
        <v>111</v>
      </c>
      <c r="D10" s="3" t="s">
        <v>112</v>
      </c>
      <c r="E10" s="3" t="s">
        <v>88</v>
      </c>
      <c r="F10" s="3" t="s">
        <v>185</v>
      </c>
      <c r="G10" s="3"/>
    </row>
    <row r="11" spans="1:8" x14ac:dyDescent="0.3">
      <c r="A11" s="1" t="s">
        <v>39</v>
      </c>
      <c r="B11" s="3" t="s">
        <v>113</v>
      </c>
      <c r="C11" s="3" t="s">
        <v>114</v>
      </c>
      <c r="D11" s="3" t="s">
        <v>115</v>
      </c>
      <c r="E11" s="3" t="s">
        <v>92</v>
      </c>
      <c r="F11" s="3" t="s">
        <v>186</v>
      </c>
      <c r="G11" s="3"/>
    </row>
    <row r="12" spans="1:8" x14ac:dyDescent="0.3">
      <c r="A12" s="1" t="s">
        <v>42</v>
      </c>
      <c r="B12" s="3" t="s">
        <v>116</v>
      </c>
      <c r="C12" s="3" t="s">
        <v>117</v>
      </c>
      <c r="D12" s="3" t="s">
        <v>118</v>
      </c>
      <c r="E12" s="3" t="s">
        <v>88</v>
      </c>
      <c r="F12" s="3" t="s">
        <v>187</v>
      </c>
      <c r="G12" s="3"/>
      <c r="H12" s="4"/>
    </row>
    <row r="13" spans="1:8" x14ac:dyDescent="0.3">
      <c r="A13" s="1" t="s">
        <v>47</v>
      </c>
      <c r="B13" s="3" t="s">
        <v>119</v>
      </c>
      <c r="C13" s="3" t="s">
        <v>120</v>
      </c>
      <c r="D13" s="3" t="s">
        <v>121</v>
      </c>
      <c r="E13" s="3" t="s">
        <v>99</v>
      </c>
      <c r="F13" s="3" t="s">
        <v>192</v>
      </c>
      <c r="G13" s="3"/>
    </row>
    <row r="14" spans="1:8" ht="28.8" x14ac:dyDescent="0.3">
      <c r="A14" s="1" t="s">
        <v>50</v>
      </c>
      <c r="B14" s="3" t="s">
        <v>122</v>
      </c>
      <c r="C14" s="3" t="s">
        <v>123</v>
      </c>
      <c r="D14" s="3" t="s">
        <v>98</v>
      </c>
      <c r="E14" s="3" t="s">
        <v>88</v>
      </c>
      <c r="F14" s="3" t="s">
        <v>183</v>
      </c>
      <c r="G14" s="3"/>
    </row>
    <row r="15" spans="1:8" x14ac:dyDescent="0.3">
      <c r="A15" s="1" t="s">
        <v>53</v>
      </c>
      <c r="B15" s="3" t="s">
        <v>124</v>
      </c>
      <c r="C15" s="3" t="s">
        <v>125</v>
      </c>
      <c r="D15" s="3" t="s">
        <v>126</v>
      </c>
      <c r="E15" s="3" t="s">
        <v>92</v>
      </c>
      <c r="F15" s="3" t="s">
        <v>184</v>
      </c>
      <c r="G15" s="3"/>
    </row>
    <row r="16" spans="1:8" x14ac:dyDescent="0.3">
      <c r="A16" s="1" t="s">
        <v>56</v>
      </c>
      <c r="B16" s="3" t="s">
        <v>127</v>
      </c>
      <c r="C16" s="3" t="s">
        <v>128</v>
      </c>
      <c r="D16" s="3" t="s">
        <v>115</v>
      </c>
      <c r="E16" s="3" t="s">
        <v>88</v>
      </c>
      <c r="F16" s="3" t="s">
        <v>186</v>
      </c>
      <c r="G16" s="3"/>
    </row>
    <row r="17" spans="1:8" ht="28.8" x14ac:dyDescent="0.3">
      <c r="A17" s="1" t="s">
        <v>59</v>
      </c>
      <c r="B17" s="3" t="s">
        <v>129</v>
      </c>
      <c r="C17" s="3" t="s">
        <v>130</v>
      </c>
      <c r="D17" s="3" t="s">
        <v>98</v>
      </c>
      <c r="E17" s="3" t="s">
        <v>99</v>
      </c>
      <c r="F17" s="3" t="s">
        <v>184</v>
      </c>
      <c r="G17" s="3"/>
      <c r="H17" s="4"/>
    </row>
    <row r="18" spans="1:8" x14ac:dyDescent="0.3">
      <c r="A18" s="1" t="s">
        <v>62</v>
      </c>
      <c r="B18" s="3" t="s">
        <v>131</v>
      </c>
      <c r="C18" s="3" t="s">
        <v>132</v>
      </c>
      <c r="D18" s="3" t="s">
        <v>95</v>
      </c>
      <c r="E18" s="3" t="s">
        <v>88</v>
      </c>
      <c r="F18" s="3" t="s">
        <v>183</v>
      </c>
      <c r="G18" s="3"/>
    </row>
    <row r="19" spans="1:8" x14ac:dyDescent="0.3">
      <c r="A19" s="1" t="s">
        <v>65</v>
      </c>
      <c r="B19" s="3" t="s">
        <v>133</v>
      </c>
      <c r="C19" s="3" t="s">
        <v>134</v>
      </c>
      <c r="D19" s="3" t="s">
        <v>112</v>
      </c>
      <c r="E19" s="3" t="s">
        <v>92</v>
      </c>
      <c r="F19" s="3" t="s">
        <v>185</v>
      </c>
      <c r="G19" s="3"/>
    </row>
    <row r="20" spans="1:8" x14ac:dyDescent="0.3">
      <c r="A20" s="1" t="s">
        <v>68</v>
      </c>
      <c r="B20" s="3" t="s">
        <v>135</v>
      </c>
      <c r="C20" s="3" t="s">
        <v>136</v>
      </c>
      <c r="D20" s="3" t="s">
        <v>91</v>
      </c>
      <c r="E20" s="3" t="s">
        <v>88</v>
      </c>
      <c r="F20" s="3" t="s">
        <v>183</v>
      </c>
      <c r="G20" s="3"/>
    </row>
    <row r="21" spans="1:8" x14ac:dyDescent="0.3">
      <c r="A21" s="1" t="s">
        <v>70</v>
      </c>
      <c r="B21" s="3" t="s">
        <v>137</v>
      </c>
      <c r="C21" s="3" t="s">
        <v>138</v>
      </c>
      <c r="D21" s="3" t="s">
        <v>139</v>
      </c>
      <c r="E21" s="3" t="s">
        <v>99</v>
      </c>
      <c r="F21" s="3" t="s">
        <v>185</v>
      </c>
      <c r="G21" s="3"/>
    </row>
    <row r="22" spans="1:8" x14ac:dyDescent="0.3">
      <c r="A22" s="1" t="s">
        <v>73</v>
      </c>
      <c r="B22" s="3" t="s">
        <v>140</v>
      </c>
      <c r="C22" s="3" t="s">
        <v>141</v>
      </c>
      <c r="D22" s="3" t="s">
        <v>142</v>
      </c>
      <c r="E22" s="3" t="s">
        <v>88</v>
      </c>
      <c r="F22" s="3" t="s">
        <v>187</v>
      </c>
      <c r="G22" s="3"/>
    </row>
    <row r="23" spans="1:8" x14ac:dyDescent="0.3">
      <c r="A23" s="1" t="s">
        <v>75</v>
      </c>
      <c r="B23" s="3" t="s">
        <v>143</v>
      </c>
      <c r="C23" s="3" t="s">
        <v>144</v>
      </c>
      <c r="D23" s="3" t="s">
        <v>145</v>
      </c>
      <c r="E23" s="3" t="s">
        <v>92</v>
      </c>
      <c r="F23" s="3" t="s">
        <v>187</v>
      </c>
      <c r="G23" s="3"/>
    </row>
    <row r="24" spans="1:8" x14ac:dyDescent="0.3">
      <c r="A24" s="1" t="s">
        <v>77</v>
      </c>
      <c r="B24" s="3" t="s">
        <v>146</v>
      </c>
      <c r="C24" s="3" t="s">
        <v>147</v>
      </c>
      <c r="D24" s="3" t="s">
        <v>121</v>
      </c>
      <c r="E24" s="3" t="s">
        <v>88</v>
      </c>
      <c r="F24" s="3" t="s">
        <v>183</v>
      </c>
      <c r="G24" s="3"/>
      <c r="H24" s="4"/>
    </row>
    <row r="25" spans="1:8" x14ac:dyDescent="0.3">
      <c r="A25" s="1" t="s">
        <v>79</v>
      </c>
      <c r="B25" s="3" t="s">
        <v>119</v>
      </c>
      <c r="C25" s="3" t="s">
        <v>108</v>
      </c>
      <c r="D25" s="3" t="s">
        <v>109</v>
      </c>
      <c r="E25" s="3" t="s">
        <v>92</v>
      </c>
      <c r="F25" s="3" t="s">
        <v>183</v>
      </c>
      <c r="G25" s="3"/>
    </row>
    <row r="26" spans="1:8" x14ac:dyDescent="0.3">
      <c r="A26" s="1"/>
      <c r="B26" s="2"/>
      <c r="C26" s="3"/>
      <c r="D26" s="3"/>
      <c r="E26" s="3"/>
      <c r="F26" s="3"/>
      <c r="G26" s="3"/>
    </row>
    <row r="27" spans="1:8" x14ac:dyDescent="0.3">
      <c r="A27" s="1"/>
      <c r="B27" s="2"/>
      <c r="C27" s="3"/>
      <c r="D27" s="3"/>
      <c r="E27" s="3"/>
      <c r="F27" s="3"/>
      <c r="G27" s="3"/>
      <c r="H27" s="4"/>
    </row>
    <row r="28" spans="1:8" x14ac:dyDescent="0.3">
      <c r="A28" s="1"/>
      <c r="B28" s="2"/>
      <c r="C28" s="3"/>
      <c r="D28" s="3"/>
      <c r="E28" s="3"/>
      <c r="F28" s="3"/>
      <c r="G28" s="3"/>
    </row>
    <row r="29" spans="1:8" x14ac:dyDescent="0.3">
      <c r="A29" s="1"/>
      <c r="B29" s="2"/>
      <c r="C29" s="3"/>
      <c r="D29" s="3"/>
      <c r="E29" s="3"/>
      <c r="F29" s="3"/>
      <c r="G29" s="3"/>
    </row>
    <row r="30" spans="1:8" x14ac:dyDescent="0.3">
      <c r="A30" s="1"/>
      <c r="B30" s="2"/>
      <c r="C30" s="3"/>
      <c r="D30" s="3"/>
      <c r="E30" s="3"/>
      <c r="F30" s="3"/>
      <c r="G30" s="3"/>
    </row>
    <row r="31" spans="1:8" x14ac:dyDescent="0.3">
      <c r="A31" s="1"/>
      <c r="B31" s="2"/>
      <c r="C31" s="3"/>
      <c r="D31" s="3"/>
      <c r="E31" s="3"/>
      <c r="F31" s="3"/>
      <c r="G31" s="3"/>
    </row>
    <row r="32" spans="1:8" x14ac:dyDescent="0.3">
      <c r="A32" s="1"/>
      <c r="B32" s="2"/>
      <c r="C32" s="3"/>
      <c r="D32" s="3"/>
      <c r="E32" s="3"/>
      <c r="F32" s="3"/>
      <c r="G32" s="3"/>
      <c r="H32"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D9AE-9143-4F0F-B911-EC4C79CC05D6}">
  <dimension ref="A1:E26"/>
  <sheetViews>
    <sheetView workbookViewId="0">
      <selection activeCell="F5" sqref="F5"/>
    </sheetView>
  </sheetViews>
  <sheetFormatPr defaultRowHeight="14.4" x14ac:dyDescent="0.3"/>
  <cols>
    <col min="1" max="1" width="11.21875" customWidth="1"/>
    <col min="2" max="2" width="14.77734375" customWidth="1"/>
    <col min="3" max="3" width="10.33203125" customWidth="1"/>
    <col min="4" max="4" width="11.33203125" customWidth="1"/>
    <col min="5" max="5" width="10.33203125" customWidth="1"/>
  </cols>
  <sheetData>
    <row r="1" spans="1:5" ht="28.8" x14ac:dyDescent="0.3">
      <c r="A1" s="1" t="s">
        <v>3</v>
      </c>
      <c r="B1" s="1" t="s">
        <v>148</v>
      </c>
      <c r="C1" s="1" t="s">
        <v>149</v>
      </c>
      <c r="D1" s="1" t="s">
        <v>150</v>
      </c>
      <c r="E1" s="1"/>
    </row>
    <row r="2" spans="1:5" x14ac:dyDescent="0.3">
      <c r="A2" s="1" t="s">
        <v>9</v>
      </c>
      <c r="B2" s="3" t="s">
        <v>151</v>
      </c>
      <c r="C2" s="3" t="s">
        <v>152</v>
      </c>
      <c r="D2" s="3">
        <v>2000</v>
      </c>
      <c r="E2" s="1"/>
    </row>
    <row r="3" spans="1:5" ht="28.8" x14ac:dyDescent="0.3">
      <c r="A3" s="1" t="s">
        <v>15</v>
      </c>
      <c r="B3" s="3" t="s">
        <v>153</v>
      </c>
      <c r="C3" s="3" t="s">
        <v>152</v>
      </c>
      <c r="D3" s="3">
        <v>600</v>
      </c>
      <c r="E3" s="3"/>
    </row>
    <row r="4" spans="1:5" x14ac:dyDescent="0.3">
      <c r="A4" s="1" t="s">
        <v>12</v>
      </c>
      <c r="B4" s="3" t="s">
        <v>154</v>
      </c>
      <c r="C4" s="3" t="s">
        <v>152</v>
      </c>
      <c r="D4" s="3">
        <v>500</v>
      </c>
      <c r="E4" s="3"/>
    </row>
    <row r="5" spans="1:5" x14ac:dyDescent="0.3">
      <c r="A5" s="1" t="s">
        <v>20</v>
      </c>
      <c r="B5" s="3" t="s">
        <v>155</v>
      </c>
      <c r="C5" s="3" t="s">
        <v>156</v>
      </c>
      <c r="D5" s="3">
        <v>400</v>
      </c>
      <c r="E5" s="3"/>
    </row>
    <row r="6" spans="1:5" x14ac:dyDescent="0.3">
      <c r="A6" s="1" t="s">
        <v>17</v>
      </c>
      <c r="B6" s="3" t="s">
        <v>157</v>
      </c>
      <c r="C6" s="3" t="s">
        <v>158</v>
      </c>
      <c r="D6" s="3">
        <v>300</v>
      </c>
      <c r="E6" s="3"/>
    </row>
    <row r="7" spans="1:5" x14ac:dyDescent="0.3">
      <c r="A7" s="1" t="s">
        <v>23</v>
      </c>
      <c r="B7" s="3" t="s">
        <v>159</v>
      </c>
      <c r="C7" s="3" t="s">
        <v>152</v>
      </c>
      <c r="D7" s="3">
        <v>250</v>
      </c>
      <c r="E7" s="3"/>
    </row>
    <row r="8" spans="1:5" x14ac:dyDescent="0.3">
      <c r="A8" s="1" t="s">
        <v>26</v>
      </c>
      <c r="B8" s="3" t="s">
        <v>160</v>
      </c>
      <c r="C8" s="3" t="s">
        <v>152</v>
      </c>
      <c r="D8" s="3">
        <v>600</v>
      </c>
      <c r="E8" s="3"/>
    </row>
    <row r="9" spans="1:5" x14ac:dyDescent="0.3">
      <c r="A9" s="1" t="s">
        <v>29</v>
      </c>
      <c r="B9" s="3" t="s">
        <v>161</v>
      </c>
      <c r="C9" s="3" t="s">
        <v>158</v>
      </c>
      <c r="D9" s="3">
        <v>700</v>
      </c>
      <c r="E9" s="3"/>
    </row>
    <row r="10" spans="1:5" ht="11.4" customHeight="1" x14ac:dyDescent="0.3">
      <c r="A10" s="1" t="s">
        <v>31</v>
      </c>
      <c r="B10" s="3" t="s">
        <v>162</v>
      </c>
      <c r="C10" s="3" t="s">
        <v>158</v>
      </c>
      <c r="D10" s="3">
        <v>500</v>
      </c>
      <c r="E10" s="3"/>
    </row>
    <row r="11" spans="1:5" x14ac:dyDescent="0.3">
      <c r="A11" s="1" t="s">
        <v>34</v>
      </c>
      <c r="B11" s="3" t="s">
        <v>163</v>
      </c>
      <c r="C11" s="3" t="s">
        <v>164</v>
      </c>
      <c r="D11" s="3">
        <v>500</v>
      </c>
      <c r="E11" s="3"/>
    </row>
    <row r="12" spans="1:5" x14ac:dyDescent="0.3">
      <c r="A12" s="1" t="s">
        <v>37</v>
      </c>
      <c r="B12" s="3" t="s">
        <v>165</v>
      </c>
      <c r="C12" s="3" t="s">
        <v>164</v>
      </c>
      <c r="D12" s="3">
        <v>400</v>
      </c>
      <c r="E12" s="3"/>
    </row>
    <row r="13" spans="1:5" x14ac:dyDescent="0.3">
      <c r="A13" s="1" t="s">
        <v>40</v>
      </c>
      <c r="B13" s="3" t="s">
        <v>166</v>
      </c>
      <c r="C13" s="3" t="s">
        <v>164</v>
      </c>
      <c r="D13" s="3">
        <v>1500</v>
      </c>
      <c r="E13" s="3"/>
    </row>
    <row r="14" spans="1:5" x14ac:dyDescent="0.3">
      <c r="A14" s="1" t="s">
        <v>43</v>
      </c>
      <c r="B14" s="3" t="s">
        <v>167</v>
      </c>
      <c r="C14" s="3" t="s">
        <v>164</v>
      </c>
      <c r="D14" s="3">
        <v>200</v>
      </c>
      <c r="E14" s="3"/>
    </row>
    <row r="15" spans="1:5" x14ac:dyDescent="0.3">
      <c r="A15" s="1" t="s">
        <v>45</v>
      </c>
      <c r="B15" s="3" t="s">
        <v>168</v>
      </c>
      <c r="C15" s="3" t="s">
        <v>158</v>
      </c>
      <c r="D15" s="3">
        <v>350</v>
      </c>
      <c r="E15" s="3"/>
    </row>
    <row r="16" spans="1:5" x14ac:dyDescent="0.3">
      <c r="A16" s="1" t="s">
        <v>48</v>
      </c>
      <c r="B16" s="3" t="s">
        <v>169</v>
      </c>
      <c r="C16" s="3" t="s">
        <v>158</v>
      </c>
      <c r="D16" s="3">
        <v>1200</v>
      </c>
      <c r="E16" s="3"/>
    </row>
    <row r="17" spans="1:5" x14ac:dyDescent="0.3">
      <c r="A17" s="1" t="s">
        <v>51</v>
      </c>
      <c r="B17" s="3" t="s">
        <v>170</v>
      </c>
      <c r="C17" s="3" t="s">
        <v>152</v>
      </c>
      <c r="D17" s="3">
        <v>100</v>
      </c>
      <c r="E17" s="3"/>
    </row>
    <row r="18" spans="1:5" x14ac:dyDescent="0.3">
      <c r="A18" s="1" t="s">
        <v>54</v>
      </c>
      <c r="B18" s="3" t="s">
        <v>171</v>
      </c>
      <c r="C18" s="3" t="s">
        <v>152</v>
      </c>
      <c r="D18" s="3">
        <v>50</v>
      </c>
      <c r="E18" s="3"/>
    </row>
    <row r="19" spans="1:5" x14ac:dyDescent="0.3">
      <c r="A19" s="1" t="s">
        <v>57</v>
      </c>
      <c r="B19" s="3" t="s">
        <v>172</v>
      </c>
      <c r="C19" s="3" t="s">
        <v>156</v>
      </c>
      <c r="D19" s="3">
        <v>800</v>
      </c>
      <c r="E19" s="3"/>
    </row>
    <row r="20" spans="1:5" x14ac:dyDescent="0.3">
      <c r="A20" s="1" t="s">
        <v>60</v>
      </c>
      <c r="B20" s="3" t="s">
        <v>173</v>
      </c>
      <c r="C20" s="3" t="s">
        <v>156</v>
      </c>
      <c r="D20" s="3">
        <v>200</v>
      </c>
      <c r="E20" s="3"/>
    </row>
    <row r="21" spans="1:5" x14ac:dyDescent="0.3">
      <c r="A21" s="1" t="s">
        <v>63</v>
      </c>
      <c r="B21" s="3" t="s">
        <v>174</v>
      </c>
      <c r="C21" s="3" t="s">
        <v>158</v>
      </c>
      <c r="D21" s="3">
        <v>250</v>
      </c>
      <c r="E21" s="3"/>
    </row>
    <row r="22" spans="1:5" ht="28.8" x14ac:dyDescent="0.3">
      <c r="A22" s="1" t="s">
        <v>66</v>
      </c>
      <c r="B22" s="3" t="s">
        <v>175</v>
      </c>
      <c r="C22" s="3" t="s">
        <v>164</v>
      </c>
      <c r="D22" s="3">
        <v>2000</v>
      </c>
      <c r="E22" s="3"/>
    </row>
    <row r="23" spans="1:5" x14ac:dyDescent="0.3">
      <c r="A23" s="1"/>
      <c r="B23" s="3"/>
      <c r="C23" s="3"/>
      <c r="D23" s="3"/>
      <c r="E23" s="3"/>
    </row>
    <row r="24" spans="1:5" x14ac:dyDescent="0.3">
      <c r="A24" s="1"/>
      <c r="B24" s="3"/>
      <c r="C24" s="3"/>
      <c r="D24" s="3"/>
      <c r="E24" s="3"/>
    </row>
    <row r="25" spans="1:5" x14ac:dyDescent="0.3">
      <c r="A25" s="1"/>
      <c r="B25" s="3"/>
      <c r="C25" s="3"/>
      <c r="D25" s="3"/>
      <c r="E25" s="3"/>
    </row>
    <row r="26" spans="1:5" x14ac:dyDescent="0.3">
      <c r="A26" s="1"/>
      <c r="B26" s="3"/>
      <c r="C26" s="3"/>
      <c r="D26" s="3"/>
      <c r="E26"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CB64-AA02-4887-BF8E-5F9E328184B5}">
  <dimension ref="A1:J30"/>
  <sheetViews>
    <sheetView workbookViewId="0">
      <selection activeCell="K9" sqref="K9"/>
    </sheetView>
  </sheetViews>
  <sheetFormatPr defaultRowHeight="14.4" x14ac:dyDescent="0.3"/>
  <cols>
    <col min="1" max="1" width="9.44140625" customWidth="1"/>
    <col min="2" max="2" width="12.109375" customWidth="1"/>
    <col min="3" max="3" width="12.77734375" customWidth="1"/>
    <col min="4" max="4" width="11.21875" customWidth="1"/>
    <col min="5" max="5" width="10" customWidth="1"/>
    <col min="8" max="8" width="10.77734375" customWidth="1"/>
    <col min="9" max="9" width="17.44140625" customWidth="1"/>
    <col min="10" max="10" width="13.77734375" customWidth="1"/>
    <col min="11" max="11" width="17.6640625" customWidth="1"/>
  </cols>
  <sheetData>
    <row r="1" spans="1:10" ht="28.8" x14ac:dyDescent="0.3">
      <c r="A1" s="1" t="s">
        <v>0</v>
      </c>
      <c r="B1" s="1" t="s">
        <v>1</v>
      </c>
      <c r="C1" s="1" t="s">
        <v>2</v>
      </c>
      <c r="D1" s="1" t="s">
        <v>3</v>
      </c>
      <c r="E1" s="1" t="s">
        <v>4</v>
      </c>
      <c r="F1" s="1" t="s">
        <v>5</v>
      </c>
      <c r="G1" s="1" t="s">
        <v>6</v>
      </c>
      <c r="H1" s="1" t="s">
        <v>180</v>
      </c>
      <c r="I1" s="1" t="s">
        <v>196</v>
      </c>
      <c r="J1" s="1" t="s">
        <v>197</v>
      </c>
    </row>
    <row r="2" spans="1:10" x14ac:dyDescent="0.3">
      <c r="A2" s="1" t="s">
        <v>7</v>
      </c>
      <c r="B2" s="2">
        <v>46027</v>
      </c>
      <c r="C2" s="3" t="s">
        <v>8</v>
      </c>
      <c r="D2" s="3" t="s">
        <v>9</v>
      </c>
      <c r="E2" s="3">
        <v>2</v>
      </c>
      <c r="F2" s="3">
        <v>4000</v>
      </c>
      <c r="G2" s="3">
        <f>Table10[[#This Row],[Sales]] - (Table10[[#This Row],[Quantity]] * _xlfn.XLOOKUP(Table10[[#This Row],[ProductID]], Table6[ProductID], Table6[Cost Price]))</f>
        <v>0</v>
      </c>
      <c r="H2" s="3">
        <f>Table10[[#This Row],[Profit]]/Table10[[#This Row],[Sales]]</f>
        <v>0</v>
      </c>
      <c r="I2" s="3">
        <f>COUNTIFS(Table10[CustomerID],Table10[[#This Row],[CustomerID]])</f>
        <v>4</v>
      </c>
      <c r="J2" s="3" t="str">
        <f>IF(Table10[[#This Row],[count of orders]]&gt;1,"Repeat","New")</f>
        <v>Repeat</v>
      </c>
    </row>
    <row r="3" spans="1:10" x14ac:dyDescent="0.3">
      <c r="A3" s="1" t="s">
        <v>10</v>
      </c>
      <c r="B3" s="2">
        <v>46029</v>
      </c>
      <c r="C3" s="3" t="s">
        <v>11</v>
      </c>
      <c r="D3" s="3" t="s">
        <v>12</v>
      </c>
      <c r="E3" s="3">
        <v>1</v>
      </c>
      <c r="F3" s="3">
        <v>1200</v>
      </c>
      <c r="G3" s="3">
        <f>Table10[[#This Row],[Sales]] - (Table10[[#This Row],[Quantity]] * _xlfn.XLOOKUP(Table10[[#This Row],[ProductID]], Table6[ProductID], Table6[Cost Price]))</f>
        <v>700</v>
      </c>
      <c r="H3" s="3">
        <f>Table10[[#This Row],[Profit]]/Table10[[#This Row],[Sales]]</f>
        <v>0.58333333333333337</v>
      </c>
      <c r="I3" s="3">
        <f>COUNTIFS(Table10[CustomerID],Table10[[#This Row],[CustomerID]])</f>
        <v>3</v>
      </c>
      <c r="J3" s="3" t="str">
        <f>IF(Table10[[#This Row],[count of orders]]&gt;1,"Repeat","New")</f>
        <v>Repeat</v>
      </c>
    </row>
    <row r="4" spans="1:10" x14ac:dyDescent="0.3">
      <c r="A4" s="1" t="s">
        <v>13</v>
      </c>
      <c r="B4" s="2">
        <v>46032</v>
      </c>
      <c r="C4" s="3" t="s">
        <v>14</v>
      </c>
      <c r="D4" s="3" t="s">
        <v>15</v>
      </c>
      <c r="E4" s="3">
        <v>3</v>
      </c>
      <c r="F4" s="3">
        <v>2400</v>
      </c>
      <c r="G4" s="3">
        <f>Table10[[#This Row],[Sales]] - (Table10[[#This Row],[Quantity]] * _xlfn.XLOOKUP(Table10[[#This Row],[ProductID]], Table6[ProductID], Table6[Cost Price]))</f>
        <v>600</v>
      </c>
      <c r="H4" s="3">
        <f>Table10[[#This Row],[Profit]]/Table10[[#This Row],[Sales]]</f>
        <v>0.25</v>
      </c>
      <c r="I4" s="3">
        <f>COUNTIFS(Table10[CustomerID],Table10[[#This Row],[CustomerID]])</f>
        <v>1</v>
      </c>
      <c r="J4" s="3" t="str">
        <f>IF(Table10[[#This Row],[count of orders]]&gt;1,"Repeat","New")</f>
        <v>New</v>
      </c>
    </row>
    <row r="5" spans="1:10" x14ac:dyDescent="0.3">
      <c r="A5" s="1" t="s">
        <v>16</v>
      </c>
      <c r="B5" s="2">
        <v>46034</v>
      </c>
      <c r="C5" s="3" t="s">
        <v>8</v>
      </c>
      <c r="D5" s="3" t="s">
        <v>17</v>
      </c>
      <c r="E5" s="3">
        <v>2</v>
      </c>
      <c r="F5" s="3">
        <v>1000</v>
      </c>
      <c r="G5" s="3">
        <f>Table10[[#This Row],[Sales]] - (Table10[[#This Row],[Quantity]] * _xlfn.XLOOKUP(Table10[[#This Row],[ProductID]], Table6[ProductID], Table6[Cost Price]))</f>
        <v>400</v>
      </c>
      <c r="H5" s="3">
        <f>Table10[[#This Row],[Profit]]/Table10[[#This Row],[Sales]]</f>
        <v>0.4</v>
      </c>
      <c r="I5" s="3">
        <f>COUNTIFS(Table10[CustomerID],Table10[[#This Row],[CustomerID]])</f>
        <v>4</v>
      </c>
      <c r="J5" s="3" t="str">
        <f>IF(Table10[[#This Row],[count of orders]]&gt;1,"Repeat","New")</f>
        <v>Repeat</v>
      </c>
    </row>
    <row r="6" spans="1:10" x14ac:dyDescent="0.3">
      <c r="A6" s="1" t="s">
        <v>18</v>
      </c>
      <c r="B6" s="2">
        <v>46037</v>
      </c>
      <c r="C6" s="3" t="s">
        <v>19</v>
      </c>
      <c r="D6" s="3" t="s">
        <v>20</v>
      </c>
      <c r="E6" s="3">
        <v>4</v>
      </c>
      <c r="F6" s="3">
        <v>2000</v>
      </c>
      <c r="G6" s="3">
        <f>Table10[[#This Row],[Sales]] - (Table10[[#This Row],[Quantity]] * _xlfn.XLOOKUP(Table10[[#This Row],[ProductID]], Table6[ProductID], Table6[Cost Price]))</f>
        <v>400</v>
      </c>
      <c r="H6" s="3">
        <f>Table10[[#This Row],[Profit]]/Table10[[#This Row],[Sales]]</f>
        <v>0.2</v>
      </c>
      <c r="I6" s="3">
        <f>COUNTIFS(Table10[CustomerID],Table10[[#This Row],[CustomerID]])</f>
        <v>1</v>
      </c>
      <c r="J6" s="3" t="str">
        <f>IF(Table10[[#This Row],[count of orders]]&gt;1,"Repeat","New")</f>
        <v>New</v>
      </c>
    </row>
    <row r="7" spans="1:10" x14ac:dyDescent="0.3">
      <c r="A7" s="1" t="s">
        <v>21</v>
      </c>
      <c r="B7" s="2">
        <v>46040</v>
      </c>
      <c r="C7" s="3" t="s">
        <v>22</v>
      </c>
      <c r="D7" s="3" t="s">
        <v>23</v>
      </c>
      <c r="E7" s="3">
        <v>2</v>
      </c>
      <c r="F7" s="3">
        <v>1000</v>
      </c>
      <c r="G7" s="3">
        <f>Table10[[#This Row],[Sales]] - (Table10[[#This Row],[Quantity]] * _xlfn.XLOOKUP(Table10[[#This Row],[ProductID]], Table6[ProductID], Table6[Cost Price]))</f>
        <v>500</v>
      </c>
      <c r="H7" s="3">
        <f>Table10[[#This Row],[Profit]]/Table10[[#This Row],[Sales]]</f>
        <v>0.5</v>
      </c>
      <c r="I7" s="3">
        <f>COUNTIFS(Table10[CustomerID],Table10[[#This Row],[CustomerID]])</f>
        <v>1</v>
      </c>
      <c r="J7" s="3" t="str">
        <f>IF(Table10[[#This Row],[count of orders]]&gt;1,"Repeat","New")</f>
        <v>New</v>
      </c>
    </row>
    <row r="8" spans="1:10" x14ac:dyDescent="0.3">
      <c r="A8" s="1" t="s">
        <v>24</v>
      </c>
      <c r="B8" s="2">
        <v>46042</v>
      </c>
      <c r="C8" s="3" t="s">
        <v>25</v>
      </c>
      <c r="D8" s="3" t="s">
        <v>26</v>
      </c>
      <c r="E8" s="3">
        <v>6</v>
      </c>
      <c r="F8" s="3">
        <v>3600</v>
      </c>
      <c r="G8" s="3">
        <f>Table10[[#This Row],[Sales]] - (Table10[[#This Row],[Quantity]] * _xlfn.XLOOKUP(Table10[[#This Row],[ProductID]], Table6[ProductID], Table6[Cost Price]))</f>
        <v>0</v>
      </c>
      <c r="H8" s="3">
        <f>Table10[[#This Row],[Profit]]/Table10[[#This Row],[Sales]]</f>
        <v>0</v>
      </c>
      <c r="I8" s="3">
        <f>COUNTIFS(Table10[CustomerID],Table10[[#This Row],[CustomerID]])</f>
        <v>1</v>
      </c>
      <c r="J8" s="3" t="str">
        <f>IF(Table10[[#This Row],[count of orders]]&gt;1,"Repeat","New")</f>
        <v>New</v>
      </c>
    </row>
    <row r="9" spans="1:10" x14ac:dyDescent="0.3">
      <c r="A9" s="1" t="s">
        <v>27</v>
      </c>
      <c r="B9" s="2">
        <v>46044</v>
      </c>
      <c r="C9" s="3" t="s">
        <v>28</v>
      </c>
      <c r="D9" s="3" t="s">
        <v>29</v>
      </c>
      <c r="E9" s="3">
        <v>3</v>
      </c>
      <c r="F9" s="3">
        <v>2200</v>
      </c>
      <c r="G9" s="3">
        <f>Table10[[#This Row],[Sales]] - (Table10[[#This Row],[Quantity]] * _xlfn.XLOOKUP(Table10[[#This Row],[ProductID]], Table6[ProductID], Table6[Cost Price]))</f>
        <v>100</v>
      </c>
      <c r="H9" s="3">
        <f>Table10[[#This Row],[Profit]]/Table10[[#This Row],[Sales]]</f>
        <v>4.5454545454545456E-2</v>
      </c>
      <c r="I9" s="3">
        <f>COUNTIFS(Table10[CustomerID],Table10[[#This Row],[CustomerID]])</f>
        <v>1</v>
      </c>
      <c r="J9" s="3" t="str">
        <f>IF(Table10[[#This Row],[count of orders]]&gt;1,"Repeat","New")</f>
        <v>New</v>
      </c>
    </row>
    <row r="10" spans="1:10" x14ac:dyDescent="0.3">
      <c r="A10" s="1" t="s">
        <v>30</v>
      </c>
      <c r="B10" s="2">
        <v>46047</v>
      </c>
      <c r="C10" s="3" t="s">
        <v>8</v>
      </c>
      <c r="D10" s="3" t="s">
        <v>31</v>
      </c>
      <c r="E10" s="3">
        <v>5</v>
      </c>
      <c r="F10" s="3">
        <v>2500</v>
      </c>
      <c r="G10" s="3">
        <f>Table10[[#This Row],[Sales]] - (Table10[[#This Row],[Quantity]] * _xlfn.XLOOKUP(Table10[[#This Row],[ProductID]], Table6[ProductID], Table6[Cost Price]))</f>
        <v>0</v>
      </c>
      <c r="H10" s="4">
        <f>Table10[[#This Row],[Profit]]/Table10[[#This Row],[Sales]]</f>
        <v>0</v>
      </c>
      <c r="I10" s="3">
        <f>COUNTIFS(Table10[CustomerID],Table10[[#This Row],[CustomerID]])</f>
        <v>4</v>
      </c>
      <c r="J10" s="3" t="str">
        <f>IF(Table10[[#This Row],[count of orders]]&gt;1,"Repeat","New")</f>
        <v>Repeat</v>
      </c>
    </row>
    <row r="11" spans="1:10" x14ac:dyDescent="0.3">
      <c r="A11" s="1" t="s">
        <v>32</v>
      </c>
      <c r="B11" s="2">
        <v>46050</v>
      </c>
      <c r="C11" s="3" t="s">
        <v>33</v>
      </c>
      <c r="D11" s="3" t="s">
        <v>34</v>
      </c>
      <c r="E11" s="3">
        <v>2</v>
      </c>
      <c r="F11" s="3">
        <v>1200</v>
      </c>
      <c r="G11" s="3">
        <f>Table10[[#This Row],[Sales]] - (Table10[[#This Row],[Quantity]] * _xlfn.XLOOKUP(Table10[[#This Row],[ProductID]], Table6[ProductID], Table6[Cost Price]))</f>
        <v>200</v>
      </c>
      <c r="H11" s="3">
        <f>Table10[[#This Row],[Profit]]/Table10[[#This Row],[Sales]]</f>
        <v>0.16666666666666666</v>
      </c>
      <c r="I11" s="3">
        <f>COUNTIFS(Table10[CustomerID],Table10[[#This Row],[CustomerID]])</f>
        <v>1</v>
      </c>
      <c r="J11" s="3" t="str">
        <f>IF(Table10[[#This Row],[count of orders]]&gt;1,"Repeat","New")</f>
        <v>New</v>
      </c>
    </row>
    <row r="12" spans="1:10" x14ac:dyDescent="0.3">
      <c r="A12" s="1" t="s">
        <v>35</v>
      </c>
      <c r="B12" s="2">
        <v>46055</v>
      </c>
      <c r="C12" s="3" t="s">
        <v>36</v>
      </c>
      <c r="D12" s="3" t="s">
        <v>37</v>
      </c>
      <c r="E12" s="3">
        <v>3</v>
      </c>
      <c r="F12" s="3">
        <v>1500</v>
      </c>
      <c r="G12" s="3">
        <f>Table10[[#This Row],[Sales]] - (Table10[[#This Row],[Quantity]] * _xlfn.XLOOKUP(Table10[[#This Row],[ProductID]], Table6[ProductID], Table6[Cost Price]))</f>
        <v>300</v>
      </c>
      <c r="H12" s="3">
        <f>Table10[[#This Row],[Profit]]/Table10[[#This Row],[Sales]]</f>
        <v>0.2</v>
      </c>
      <c r="I12" s="3">
        <f>COUNTIFS(Table10[CustomerID],Table10[[#This Row],[CustomerID]])</f>
        <v>1</v>
      </c>
      <c r="J12" s="3" t="str">
        <f>IF(Table10[[#This Row],[count of orders]]&gt;1,"Repeat","New")</f>
        <v>New</v>
      </c>
    </row>
    <row r="13" spans="1:10" x14ac:dyDescent="0.3">
      <c r="A13" s="1" t="s">
        <v>38</v>
      </c>
      <c r="B13" s="2">
        <v>46058</v>
      </c>
      <c r="C13" s="3" t="s">
        <v>39</v>
      </c>
      <c r="D13" s="3" t="s">
        <v>40</v>
      </c>
      <c r="E13" s="3">
        <v>4</v>
      </c>
      <c r="F13" s="3">
        <v>8000</v>
      </c>
      <c r="G13" s="3">
        <f>Table10[[#This Row],[Sales]] - (Table10[[#This Row],[Quantity]] * _xlfn.XLOOKUP(Table10[[#This Row],[ProductID]], Table6[ProductID], Table6[Cost Price]))</f>
        <v>2000</v>
      </c>
      <c r="H13" s="3">
        <f>Table10[[#This Row],[Profit]]/Table10[[#This Row],[Sales]]</f>
        <v>0.25</v>
      </c>
      <c r="I13" s="3">
        <f>COUNTIFS(Table10[CustomerID],Table10[[#This Row],[CustomerID]])</f>
        <v>1</v>
      </c>
      <c r="J13" s="3" t="str">
        <f>IF(Table10[[#This Row],[count of orders]]&gt;1,"Repeat","New")</f>
        <v>New</v>
      </c>
    </row>
    <row r="14" spans="1:10" x14ac:dyDescent="0.3">
      <c r="A14" s="1" t="s">
        <v>41</v>
      </c>
      <c r="B14" s="2">
        <v>46060</v>
      </c>
      <c r="C14" s="3" t="s">
        <v>42</v>
      </c>
      <c r="D14" s="3" t="s">
        <v>43</v>
      </c>
      <c r="E14" s="3">
        <v>2</v>
      </c>
      <c r="F14" s="3">
        <v>1000</v>
      </c>
      <c r="G14" s="3">
        <f>Table10[[#This Row],[Sales]] - (Table10[[#This Row],[Quantity]] * _xlfn.XLOOKUP(Table10[[#This Row],[ProductID]], Table6[ProductID], Table6[Cost Price]))</f>
        <v>600</v>
      </c>
      <c r="H14" s="3">
        <f>Table10[[#This Row],[Profit]]/Table10[[#This Row],[Sales]]</f>
        <v>0.6</v>
      </c>
      <c r="I14" s="3">
        <f>COUNTIFS(Table10[CustomerID],Table10[[#This Row],[CustomerID]])</f>
        <v>1</v>
      </c>
      <c r="J14" s="3" t="str">
        <f>IF(Table10[[#This Row],[count of orders]]&gt;1,"Repeat","New")</f>
        <v>New</v>
      </c>
    </row>
    <row r="15" spans="1:10" x14ac:dyDescent="0.3">
      <c r="A15" s="1" t="s">
        <v>44</v>
      </c>
      <c r="B15" s="2">
        <v>46063</v>
      </c>
      <c r="C15" s="3" t="s">
        <v>11</v>
      </c>
      <c r="D15" s="3" t="s">
        <v>45</v>
      </c>
      <c r="E15" s="3">
        <v>1</v>
      </c>
      <c r="F15" s="3">
        <v>600</v>
      </c>
      <c r="G15" s="3">
        <f>Table10[[#This Row],[Sales]] - (Table10[[#This Row],[Quantity]] * _xlfn.XLOOKUP(Table10[[#This Row],[ProductID]], Table6[ProductID], Table6[Cost Price]))</f>
        <v>250</v>
      </c>
      <c r="H15" s="4">
        <f>Table10[[#This Row],[Profit]]/Table10[[#This Row],[Sales]]</f>
        <v>0.41666666666666669</v>
      </c>
      <c r="I15" s="3">
        <f>COUNTIFS(Table10[CustomerID],Table10[[#This Row],[CustomerID]])</f>
        <v>3</v>
      </c>
      <c r="J15" s="3" t="str">
        <f>IF(Table10[[#This Row],[count of orders]]&gt;1,"Repeat","New")</f>
        <v>Repeat</v>
      </c>
    </row>
    <row r="16" spans="1:10" x14ac:dyDescent="0.3">
      <c r="A16" s="1" t="s">
        <v>46</v>
      </c>
      <c r="B16" s="2">
        <v>46065</v>
      </c>
      <c r="C16" s="3" t="s">
        <v>47</v>
      </c>
      <c r="D16" s="3" t="s">
        <v>48</v>
      </c>
      <c r="E16" s="3">
        <v>5</v>
      </c>
      <c r="F16" s="3">
        <v>7500</v>
      </c>
      <c r="G16" s="3">
        <f>Table10[[#This Row],[Sales]] - (Table10[[#This Row],[Quantity]] * _xlfn.XLOOKUP(Table10[[#This Row],[ProductID]], Table6[ProductID], Table6[Cost Price]))</f>
        <v>1500</v>
      </c>
      <c r="H16" s="3">
        <f>Table10[[#This Row],[Profit]]/Table10[[#This Row],[Sales]]</f>
        <v>0.2</v>
      </c>
      <c r="I16" s="3">
        <f>COUNTIFS(Table10[CustomerID],Table10[[#This Row],[CustomerID]])</f>
        <v>1</v>
      </c>
      <c r="J16" s="3" t="str">
        <f>IF(Table10[[#This Row],[count of orders]]&gt;1,"Repeat","New")</f>
        <v>New</v>
      </c>
    </row>
    <row r="17" spans="1:10" x14ac:dyDescent="0.3">
      <c r="A17" s="1" t="s">
        <v>49</v>
      </c>
      <c r="B17" s="2">
        <v>46068</v>
      </c>
      <c r="C17" s="3" t="s">
        <v>50</v>
      </c>
      <c r="D17" s="3" t="s">
        <v>51</v>
      </c>
      <c r="E17" s="3">
        <v>3</v>
      </c>
      <c r="F17" s="3">
        <v>1800</v>
      </c>
      <c r="G17" s="3">
        <f>Table10[[#This Row],[Sales]] - (Table10[[#This Row],[Quantity]] * _xlfn.XLOOKUP(Table10[[#This Row],[ProductID]], Table6[ProductID], Table6[Cost Price]))</f>
        <v>1500</v>
      </c>
      <c r="H17" s="3">
        <f>Table10[[#This Row],[Profit]]/Table10[[#This Row],[Sales]]</f>
        <v>0.83333333333333337</v>
      </c>
      <c r="I17" s="3">
        <f>COUNTIFS(Table10[CustomerID],Table10[[#This Row],[CustomerID]])</f>
        <v>1</v>
      </c>
      <c r="J17" s="3" t="str">
        <f>IF(Table10[[#This Row],[count of orders]]&gt;1,"Repeat","New")</f>
        <v>New</v>
      </c>
    </row>
    <row r="18" spans="1:10" x14ac:dyDescent="0.3">
      <c r="A18" s="1" t="s">
        <v>52</v>
      </c>
      <c r="B18" s="2">
        <v>46071</v>
      </c>
      <c r="C18" s="3" t="s">
        <v>53</v>
      </c>
      <c r="D18" s="3" t="s">
        <v>54</v>
      </c>
      <c r="E18" s="3">
        <v>2</v>
      </c>
      <c r="F18" s="3">
        <v>1200</v>
      </c>
      <c r="G18" s="3">
        <f>Table10[[#This Row],[Sales]] - (Table10[[#This Row],[Quantity]] * _xlfn.XLOOKUP(Table10[[#This Row],[ProductID]], Table6[ProductID], Table6[Cost Price]))</f>
        <v>1100</v>
      </c>
      <c r="H18" s="3">
        <f>Table10[[#This Row],[Profit]]/Table10[[#This Row],[Sales]]</f>
        <v>0.91666666666666663</v>
      </c>
      <c r="I18" s="3">
        <f>COUNTIFS(Table10[CustomerID],Table10[[#This Row],[CustomerID]])</f>
        <v>1</v>
      </c>
      <c r="J18" s="3" t="str">
        <f>IF(Table10[[#This Row],[count of orders]]&gt;1,"Repeat","New")</f>
        <v>New</v>
      </c>
    </row>
    <row r="19" spans="1:10" x14ac:dyDescent="0.3">
      <c r="A19" s="1" t="s">
        <v>55</v>
      </c>
      <c r="B19" s="2">
        <v>46073</v>
      </c>
      <c r="C19" s="3" t="s">
        <v>56</v>
      </c>
      <c r="D19" s="3" t="s">
        <v>57</v>
      </c>
      <c r="E19" s="3">
        <v>4</v>
      </c>
      <c r="F19" s="3">
        <v>2000</v>
      </c>
      <c r="G19" s="3">
        <f>Table10[[#This Row],[Sales]] - (Table10[[#This Row],[Quantity]] * _xlfn.XLOOKUP(Table10[[#This Row],[ProductID]], Table6[ProductID], Table6[Cost Price]))</f>
        <v>-1200</v>
      </c>
      <c r="H19" s="3">
        <f>Table10[[#This Row],[Profit]]/Table10[[#This Row],[Sales]]</f>
        <v>-0.6</v>
      </c>
      <c r="I19" s="3">
        <f>COUNTIFS(Table10[CustomerID],Table10[[#This Row],[CustomerID]])</f>
        <v>1</v>
      </c>
      <c r="J19" s="3" t="str">
        <f>IF(Table10[[#This Row],[count of orders]]&gt;1,"Repeat","New")</f>
        <v>New</v>
      </c>
    </row>
    <row r="20" spans="1:10" x14ac:dyDescent="0.3">
      <c r="A20" s="1" t="s">
        <v>58</v>
      </c>
      <c r="B20" s="2">
        <v>46075</v>
      </c>
      <c r="C20" s="3" t="s">
        <v>59</v>
      </c>
      <c r="D20" s="3" t="s">
        <v>60</v>
      </c>
      <c r="E20" s="3">
        <v>3</v>
      </c>
      <c r="F20" s="3">
        <v>1500</v>
      </c>
      <c r="G20" s="3">
        <f>Table10[[#This Row],[Sales]] - (Table10[[#This Row],[Quantity]] * _xlfn.XLOOKUP(Table10[[#This Row],[ProductID]], Table6[ProductID], Table6[Cost Price]))</f>
        <v>900</v>
      </c>
      <c r="H20" s="3">
        <f>Table10[[#This Row],[Profit]]/Table10[[#This Row],[Sales]]</f>
        <v>0.6</v>
      </c>
      <c r="I20" s="3">
        <f>COUNTIFS(Table10[CustomerID],Table10[[#This Row],[CustomerID]])</f>
        <v>1</v>
      </c>
      <c r="J20" s="3" t="str">
        <f>IF(Table10[[#This Row],[count of orders]]&gt;1,"Repeat","New")</f>
        <v>New</v>
      </c>
    </row>
    <row r="21" spans="1:10" x14ac:dyDescent="0.3">
      <c r="A21" s="1" t="s">
        <v>61</v>
      </c>
      <c r="B21" s="2">
        <v>46078</v>
      </c>
      <c r="C21" s="3" t="s">
        <v>62</v>
      </c>
      <c r="D21" s="3" t="s">
        <v>63</v>
      </c>
      <c r="E21" s="3">
        <v>2</v>
      </c>
      <c r="F21" s="3">
        <v>1000</v>
      </c>
      <c r="G21" s="3">
        <f>Table10[[#This Row],[Sales]] - (Table10[[#This Row],[Quantity]] * _xlfn.XLOOKUP(Table10[[#This Row],[ProductID]], Table6[ProductID], Table6[Cost Price]))</f>
        <v>500</v>
      </c>
      <c r="H21" s="3">
        <f>Table10[[#This Row],[Profit]]/Table10[[#This Row],[Sales]]</f>
        <v>0.5</v>
      </c>
      <c r="I21" s="3">
        <f>COUNTIFS(Table10[CustomerID],Table10[[#This Row],[CustomerID]])</f>
        <v>1</v>
      </c>
      <c r="J21" s="3" t="str">
        <f>IF(Table10[[#This Row],[count of orders]]&gt;1,"Repeat","New")</f>
        <v>New</v>
      </c>
    </row>
    <row r="22" spans="1:10" x14ac:dyDescent="0.3">
      <c r="A22" s="1" t="s">
        <v>64</v>
      </c>
      <c r="B22" s="2">
        <v>46082</v>
      </c>
      <c r="C22" s="3" t="s">
        <v>65</v>
      </c>
      <c r="D22" s="3" t="s">
        <v>66</v>
      </c>
      <c r="E22" s="3">
        <v>2</v>
      </c>
      <c r="F22" s="3">
        <v>2500</v>
      </c>
      <c r="G22" s="3">
        <f>Table10[[#This Row],[Sales]] - (Table10[[#This Row],[Quantity]] * _xlfn.XLOOKUP(Table10[[#This Row],[ProductID]], Table6[ProductID], Table6[Cost Price]))</f>
        <v>-1500</v>
      </c>
      <c r="H22" s="4">
        <f>Table10[[#This Row],[Profit]]/Table10[[#This Row],[Sales]]</f>
        <v>-0.6</v>
      </c>
      <c r="I22" s="3">
        <f>COUNTIFS(Table10[CustomerID],Table10[[#This Row],[CustomerID]])</f>
        <v>1</v>
      </c>
      <c r="J22" s="3" t="str">
        <f>IF(Table10[[#This Row],[count of orders]]&gt;1,"Repeat","New")</f>
        <v>New</v>
      </c>
    </row>
    <row r="23" spans="1:10" x14ac:dyDescent="0.3">
      <c r="A23" s="1" t="s">
        <v>67</v>
      </c>
      <c r="B23" s="2">
        <v>46084</v>
      </c>
      <c r="C23" s="3" t="s">
        <v>68</v>
      </c>
      <c r="D23" s="3" t="s">
        <v>40</v>
      </c>
      <c r="E23" s="3">
        <v>3</v>
      </c>
      <c r="F23" s="3">
        <v>1800</v>
      </c>
      <c r="G23" s="3">
        <f>Table10[[#This Row],[Sales]] - (Table10[[#This Row],[Quantity]] * _xlfn.XLOOKUP(Table10[[#This Row],[ProductID]], Table6[ProductID], Table6[Cost Price]))</f>
        <v>-2700</v>
      </c>
      <c r="H23" s="3">
        <f>Table10[[#This Row],[Profit]]/Table10[[#This Row],[Sales]]</f>
        <v>-1.5</v>
      </c>
      <c r="I23" s="3">
        <f>COUNTIFS(Table10[CustomerID],Table10[[#This Row],[CustomerID]])</f>
        <v>1</v>
      </c>
      <c r="J23" s="3" t="str">
        <f>IF(Table10[[#This Row],[count of orders]]&gt;1,"Repeat","New")</f>
        <v>New</v>
      </c>
    </row>
    <row r="24" spans="1:10" x14ac:dyDescent="0.3">
      <c r="A24" s="1" t="s">
        <v>69</v>
      </c>
      <c r="B24" s="2">
        <v>46086</v>
      </c>
      <c r="C24" s="3" t="s">
        <v>70</v>
      </c>
      <c r="D24" s="3" t="s">
        <v>48</v>
      </c>
      <c r="E24" s="3">
        <v>2</v>
      </c>
      <c r="F24" s="3">
        <v>1200</v>
      </c>
      <c r="G24" s="3">
        <f>Table10[[#This Row],[Sales]] - (Table10[[#This Row],[Quantity]] * _xlfn.XLOOKUP(Table10[[#This Row],[ProductID]], Table6[ProductID], Table6[Cost Price]))</f>
        <v>-1200</v>
      </c>
      <c r="H24" s="3">
        <f>Table10[[#This Row],[Profit]]/Table10[[#This Row],[Sales]]</f>
        <v>-1</v>
      </c>
      <c r="I24" s="3">
        <f>COUNTIFS(Table10[CustomerID],Table10[[#This Row],[CustomerID]])</f>
        <v>1</v>
      </c>
      <c r="J24" s="3" t="str">
        <f>IF(Table10[[#This Row],[count of orders]]&gt;1,"Repeat","New")</f>
        <v>New</v>
      </c>
    </row>
    <row r="25" spans="1:10" x14ac:dyDescent="0.3">
      <c r="A25" s="1" t="s">
        <v>71</v>
      </c>
      <c r="B25" s="2">
        <v>46088</v>
      </c>
      <c r="C25" s="3" t="s">
        <v>8</v>
      </c>
      <c r="D25" s="3" t="s">
        <v>23</v>
      </c>
      <c r="E25" s="3">
        <v>4</v>
      </c>
      <c r="F25" s="3">
        <v>2000</v>
      </c>
      <c r="G25" s="3">
        <f>Table10[[#This Row],[Sales]] - (Table10[[#This Row],[Quantity]] * _xlfn.XLOOKUP(Table10[[#This Row],[ProductID]], Table6[ProductID], Table6[Cost Price]))</f>
        <v>1000</v>
      </c>
      <c r="H25" s="4">
        <f>Table10[[#This Row],[Profit]]/Table10[[#This Row],[Sales]]</f>
        <v>0.5</v>
      </c>
      <c r="I25" s="3">
        <f>COUNTIFS(Table10[CustomerID],Table10[[#This Row],[CustomerID]])</f>
        <v>4</v>
      </c>
      <c r="J25" s="3" t="str">
        <f>IF(Table10[[#This Row],[count of orders]]&gt;1,"Repeat","New")</f>
        <v>Repeat</v>
      </c>
    </row>
    <row r="26" spans="1:10" x14ac:dyDescent="0.3">
      <c r="A26" s="1" t="s">
        <v>72</v>
      </c>
      <c r="B26" s="2">
        <v>46091</v>
      </c>
      <c r="C26" s="3" t="s">
        <v>73</v>
      </c>
      <c r="D26" s="3" t="s">
        <v>31</v>
      </c>
      <c r="E26" s="3">
        <v>3</v>
      </c>
      <c r="F26" s="3">
        <v>1500</v>
      </c>
      <c r="G26" s="3">
        <f>Table10[[#This Row],[Sales]] - (Table10[[#This Row],[Quantity]] * _xlfn.XLOOKUP(Table10[[#This Row],[ProductID]], Table6[ProductID], Table6[Cost Price]))</f>
        <v>0</v>
      </c>
      <c r="H26" s="3">
        <f>Table10[[#This Row],[Profit]]/Table10[[#This Row],[Sales]]</f>
        <v>0</v>
      </c>
      <c r="I26" s="3">
        <f>COUNTIFS(Table10[CustomerID],Table10[[#This Row],[CustomerID]])</f>
        <v>1</v>
      </c>
      <c r="J26" s="3" t="str">
        <f>IF(Table10[[#This Row],[count of orders]]&gt;1,"Repeat","New")</f>
        <v>New</v>
      </c>
    </row>
    <row r="27" spans="1:10" x14ac:dyDescent="0.3">
      <c r="A27" s="1" t="s">
        <v>74</v>
      </c>
      <c r="B27" s="2">
        <v>46093</v>
      </c>
      <c r="C27" s="3" t="s">
        <v>75</v>
      </c>
      <c r="D27" s="3" t="s">
        <v>23</v>
      </c>
      <c r="E27" s="3">
        <v>2</v>
      </c>
      <c r="F27" s="3">
        <v>1000</v>
      </c>
      <c r="G27" s="3">
        <f>Table10[[#This Row],[Sales]] - (Table10[[#This Row],[Quantity]] * _xlfn.XLOOKUP(Table10[[#This Row],[ProductID]], Table6[ProductID], Table6[Cost Price]))</f>
        <v>500</v>
      </c>
      <c r="H27" s="3">
        <f>Table10[[#This Row],[Profit]]/Table10[[#This Row],[Sales]]</f>
        <v>0.5</v>
      </c>
      <c r="I27" s="3">
        <f>COUNTIFS(Table10[CustomerID],Table10[[#This Row],[CustomerID]])</f>
        <v>1</v>
      </c>
      <c r="J27" s="3" t="str">
        <f>IF(Table10[[#This Row],[count of orders]]&gt;1,"Repeat","New")</f>
        <v>New</v>
      </c>
    </row>
    <row r="28" spans="1:10" x14ac:dyDescent="0.3">
      <c r="A28" s="1" t="s">
        <v>76</v>
      </c>
      <c r="B28" s="2">
        <v>46096</v>
      </c>
      <c r="C28" s="3" t="s">
        <v>77</v>
      </c>
      <c r="D28" s="3" t="s">
        <v>54</v>
      </c>
      <c r="E28" s="3">
        <v>5</v>
      </c>
      <c r="F28" s="3">
        <v>2500</v>
      </c>
      <c r="G28" s="3">
        <f>Table10[[#This Row],[Sales]] - (Table10[[#This Row],[Quantity]] * _xlfn.XLOOKUP(Table10[[#This Row],[ProductID]], Table6[ProductID], Table6[Cost Price]))</f>
        <v>2250</v>
      </c>
      <c r="H28" s="3">
        <f>Table10[[#This Row],[Profit]]/Table10[[#This Row],[Sales]]</f>
        <v>0.9</v>
      </c>
      <c r="I28" s="3">
        <f>COUNTIFS(Table10[CustomerID],Table10[[#This Row],[CustomerID]])</f>
        <v>1</v>
      </c>
      <c r="J28" s="3" t="str">
        <f>IF(Table10[[#This Row],[count of orders]]&gt;1,"Repeat","New")</f>
        <v>New</v>
      </c>
    </row>
    <row r="29" spans="1:10" x14ac:dyDescent="0.3">
      <c r="A29" s="1" t="s">
        <v>78</v>
      </c>
      <c r="B29" s="2">
        <v>46099</v>
      </c>
      <c r="C29" s="3" t="s">
        <v>79</v>
      </c>
      <c r="D29" s="3" t="s">
        <v>29</v>
      </c>
      <c r="E29" s="3">
        <v>3</v>
      </c>
      <c r="F29" s="3">
        <v>1800</v>
      </c>
      <c r="G29" s="3">
        <f>Table10[[#This Row],[Sales]] - (Table10[[#This Row],[Quantity]] * _xlfn.XLOOKUP(Table10[[#This Row],[ProductID]], Table6[ProductID], Table6[Cost Price]))</f>
        <v>-300</v>
      </c>
      <c r="H29" s="3">
        <f>Table10[[#This Row],[Profit]]/Table10[[#This Row],[Sales]]</f>
        <v>-0.16666666666666666</v>
      </c>
      <c r="I29" s="3">
        <f>COUNTIFS(Table10[CustomerID],Table10[[#This Row],[CustomerID]])</f>
        <v>1</v>
      </c>
      <c r="J29" s="3" t="str">
        <f>IF(Table10[[#This Row],[count of orders]]&gt;1,"Repeat","New")</f>
        <v>New</v>
      </c>
    </row>
    <row r="30" spans="1:10" x14ac:dyDescent="0.3">
      <c r="A30" s="1" t="s">
        <v>80</v>
      </c>
      <c r="B30" s="2">
        <v>46101</v>
      </c>
      <c r="C30" s="3" t="s">
        <v>11</v>
      </c>
      <c r="D30" s="3" t="s">
        <v>60</v>
      </c>
      <c r="E30" s="3">
        <v>2</v>
      </c>
      <c r="F30" s="3">
        <v>1800</v>
      </c>
      <c r="G30" s="3">
        <f>Table10[[#This Row],[Sales]] - (Table10[[#This Row],[Quantity]] * _xlfn.XLOOKUP(Table10[[#This Row],[ProductID]], Table6[ProductID], Table6[Cost Price]))</f>
        <v>1400</v>
      </c>
      <c r="H30" s="4">
        <f>Table10[[#This Row],[Profit]]/Table10[[#This Row],[Sales]]</f>
        <v>0.77777777777777779</v>
      </c>
      <c r="I30" s="3">
        <f>COUNTIFS(Table10[CustomerID],Table10[[#This Row],[CustomerID]])</f>
        <v>3</v>
      </c>
      <c r="J30" s="3" t="str">
        <f>IF(Table10[[#This Row],[count of orders]]&gt;1,"Repeat","New")</f>
        <v>Repeat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ED7F-31AC-4139-A0C6-1BBE149806C7}">
  <dimension ref="A1:B4"/>
  <sheetViews>
    <sheetView workbookViewId="0">
      <selection activeCell="F9" sqref="F9"/>
    </sheetView>
  </sheetViews>
  <sheetFormatPr defaultRowHeight="14.4" x14ac:dyDescent="0.3"/>
  <cols>
    <col min="2" max="2" width="12.88671875" customWidth="1"/>
  </cols>
  <sheetData>
    <row r="1" spans="1:2" ht="28.8" x14ac:dyDescent="0.3">
      <c r="A1" s="1" t="s">
        <v>178</v>
      </c>
      <c r="B1" s="1" t="s">
        <v>179</v>
      </c>
    </row>
    <row r="2" spans="1:2" x14ac:dyDescent="0.3">
      <c r="A2" s="5">
        <v>46023</v>
      </c>
      <c r="B2" s="3">
        <v>25000</v>
      </c>
    </row>
    <row r="3" spans="1:2" x14ac:dyDescent="0.3">
      <c r="A3" s="5">
        <v>46054</v>
      </c>
      <c r="B3" s="3">
        <v>30000</v>
      </c>
    </row>
    <row r="4" spans="1:2" x14ac:dyDescent="0.3">
      <c r="A4" s="5">
        <v>46082</v>
      </c>
      <c r="B4" s="3">
        <v>28000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FFB85-4078-4809-A49E-EFCCA33C9644}">
  <dimension ref="A1:E31"/>
  <sheetViews>
    <sheetView workbookViewId="0">
      <selection activeCell="E3" sqref="E3"/>
    </sheetView>
  </sheetViews>
  <sheetFormatPr defaultRowHeight="14.4" x14ac:dyDescent="0.3"/>
  <cols>
    <col min="1" max="1" width="11.21875" customWidth="1"/>
    <col min="2" max="2" width="14.21875" customWidth="1"/>
    <col min="3" max="3" width="14.109375" customWidth="1"/>
  </cols>
  <sheetData>
    <row r="1" spans="1:5" x14ac:dyDescent="0.3">
      <c r="A1" t="s">
        <v>3</v>
      </c>
      <c r="B1" t="s">
        <v>176</v>
      </c>
      <c r="C1" t="s">
        <v>177</v>
      </c>
      <c r="D1" t="s">
        <v>202</v>
      </c>
      <c r="E1" t="s">
        <v>206</v>
      </c>
    </row>
    <row r="2" spans="1:5" x14ac:dyDescent="0.3">
      <c r="A2" t="s">
        <v>9</v>
      </c>
      <c r="B2">
        <v>20</v>
      </c>
      <c r="C2">
        <v>5</v>
      </c>
      <c r="D2" t="str">
        <f>IF(Table1[[#This Row],[Reorder Level]]&lt;Table1[[#This Row],[Current Stock]],"Reorder","Ok")</f>
        <v>Reorder</v>
      </c>
      <c r="E2" t="str">
        <f>IF(Table1[[#This Row],[Current Stock]]=0,"Dead","Active")</f>
        <v>Active</v>
      </c>
    </row>
    <row r="3" spans="1:5" x14ac:dyDescent="0.3">
      <c r="A3" t="s">
        <v>15</v>
      </c>
      <c r="B3">
        <v>15</v>
      </c>
      <c r="C3">
        <v>10</v>
      </c>
      <c r="D3" t="str">
        <f>IF(Table1[[#This Row],[Reorder Level]]&lt;Table1[[#This Row],[Current Stock]],"Reorder","Ok")</f>
        <v>Reorder</v>
      </c>
      <c r="E3" t="str">
        <f>IF(Table1[[#This Row],[Current Stock]]=0,"Dead","Active")</f>
        <v>Active</v>
      </c>
    </row>
    <row r="4" spans="1:5" x14ac:dyDescent="0.3">
      <c r="A4" t="s">
        <v>12</v>
      </c>
      <c r="B4">
        <v>10</v>
      </c>
      <c r="C4">
        <v>10</v>
      </c>
      <c r="D4" t="str">
        <f>IF(Table1[[#This Row],[Reorder Level]]&lt;Table1[[#This Row],[Current Stock]],"Reorder","Ok")</f>
        <v>Ok</v>
      </c>
      <c r="E4" t="str">
        <f>IF(Table1[[#This Row],[Current Stock]]=0,"Dead","Active")</f>
        <v>Active</v>
      </c>
    </row>
    <row r="5" spans="1:5" x14ac:dyDescent="0.3">
      <c r="A5" t="s">
        <v>20</v>
      </c>
      <c r="B5">
        <v>0</v>
      </c>
      <c r="C5">
        <v>5</v>
      </c>
      <c r="D5" t="str">
        <f>IF(Table1[[#This Row],[Reorder Level]]&lt;Table1[[#This Row],[Current Stock]],"Reorder","Ok")</f>
        <v>Ok</v>
      </c>
      <c r="E5" t="str">
        <f>IF(Table1[[#This Row],[Current Stock]]=0,"Dead","Active")</f>
        <v>Dead</v>
      </c>
    </row>
    <row r="6" spans="1:5" x14ac:dyDescent="0.3">
      <c r="A6" t="s">
        <v>17</v>
      </c>
      <c r="B6">
        <v>25</v>
      </c>
      <c r="C6">
        <v>20</v>
      </c>
      <c r="D6" t="str">
        <f>IF(Table1[[#This Row],[Reorder Level]]&lt;Table1[[#This Row],[Current Stock]],"Reorder","Ok")</f>
        <v>Reorder</v>
      </c>
      <c r="E6" t="str">
        <f>IF(Table1[[#This Row],[Current Stock]]=0,"Dead","Active")</f>
        <v>Active</v>
      </c>
    </row>
    <row r="7" spans="1:5" x14ac:dyDescent="0.3">
      <c r="A7" t="s">
        <v>23</v>
      </c>
      <c r="B7">
        <v>12</v>
      </c>
      <c r="C7">
        <v>15</v>
      </c>
      <c r="D7" t="str">
        <f>IF(Table1[[#This Row],[Reorder Level]]&lt;Table1[[#This Row],[Current Stock]],"Reorder","Ok")</f>
        <v>Ok</v>
      </c>
      <c r="E7" t="str">
        <f>IF(Table1[[#This Row],[Current Stock]]=0,"Dead","Active")</f>
        <v>Active</v>
      </c>
    </row>
    <row r="8" spans="1:5" x14ac:dyDescent="0.3">
      <c r="A8" t="s">
        <v>26</v>
      </c>
      <c r="B8">
        <v>18</v>
      </c>
      <c r="C8">
        <v>20</v>
      </c>
      <c r="D8" t="str">
        <f>IF(Table1[[#This Row],[Reorder Level]]&lt;Table1[[#This Row],[Current Stock]],"Reorder","Ok")</f>
        <v>Ok</v>
      </c>
      <c r="E8" t="str">
        <f>IF(Table1[[#This Row],[Current Stock]]=0,"Dead","Active")</f>
        <v>Active</v>
      </c>
    </row>
    <row r="9" spans="1:5" x14ac:dyDescent="0.3">
      <c r="A9" t="s">
        <v>29</v>
      </c>
      <c r="B9">
        <v>0</v>
      </c>
      <c r="C9">
        <v>20</v>
      </c>
      <c r="D9" t="str">
        <f>IF(Table1[[#This Row],[Reorder Level]]&lt;Table1[[#This Row],[Current Stock]],"Reorder","Ok")</f>
        <v>Ok</v>
      </c>
      <c r="E9" t="str">
        <f>IF(Table1[[#This Row],[Current Stock]]=0,"Dead","Active")</f>
        <v>Dead</v>
      </c>
    </row>
    <row r="10" spans="1:5" x14ac:dyDescent="0.3">
      <c r="A10" t="s">
        <v>31</v>
      </c>
      <c r="B10">
        <v>7</v>
      </c>
      <c r="C10">
        <v>13</v>
      </c>
      <c r="D10" t="str">
        <f>IF(Table1[[#This Row],[Reorder Level]]&lt;Table1[[#This Row],[Current Stock]],"Reorder","Ok")</f>
        <v>Ok</v>
      </c>
      <c r="E10" t="str">
        <f>IF(Table1[[#This Row],[Current Stock]]=0,"Dead","Active")</f>
        <v>Active</v>
      </c>
    </row>
    <row r="11" spans="1:5" x14ac:dyDescent="0.3">
      <c r="A11" t="s">
        <v>34</v>
      </c>
      <c r="B11">
        <v>10</v>
      </c>
      <c r="C11">
        <v>10</v>
      </c>
      <c r="D11" t="str">
        <f>IF(Table1[[#This Row],[Reorder Level]]&lt;Table1[[#This Row],[Current Stock]],"Reorder","Ok")</f>
        <v>Ok</v>
      </c>
      <c r="E11" t="str">
        <f>IF(Table1[[#This Row],[Current Stock]]=0,"Dead","Active")</f>
        <v>Active</v>
      </c>
    </row>
    <row r="12" spans="1:5" x14ac:dyDescent="0.3">
      <c r="A12" t="s">
        <v>37</v>
      </c>
      <c r="B12">
        <v>14</v>
      </c>
      <c r="C12">
        <v>20</v>
      </c>
      <c r="D12" t="str">
        <f>IF(Table1[[#This Row],[Reorder Level]]&lt;Table1[[#This Row],[Current Stock]],"Reorder","Ok")</f>
        <v>Ok</v>
      </c>
      <c r="E12" t="str">
        <f>IF(Table1[[#This Row],[Current Stock]]=0,"Dead","Active")</f>
        <v>Active</v>
      </c>
    </row>
    <row r="13" spans="1:5" x14ac:dyDescent="0.3">
      <c r="A13" t="s">
        <v>40</v>
      </c>
      <c r="B13">
        <v>6</v>
      </c>
      <c r="C13">
        <v>10</v>
      </c>
      <c r="D13" t="str">
        <f>IF(Table1[[#This Row],[Reorder Level]]&lt;Table1[[#This Row],[Current Stock]],"Reorder","Ok")</f>
        <v>Ok</v>
      </c>
      <c r="E13" t="str">
        <f>IF(Table1[[#This Row],[Current Stock]]=0,"Dead","Active")</f>
        <v>Active</v>
      </c>
    </row>
    <row r="14" spans="1:5" x14ac:dyDescent="0.3">
      <c r="A14" t="s">
        <v>43</v>
      </c>
      <c r="B14">
        <v>30</v>
      </c>
      <c r="C14">
        <v>10</v>
      </c>
      <c r="D14" t="str">
        <f>IF(Table1[[#This Row],[Reorder Level]]&lt;Table1[[#This Row],[Current Stock]],"Reorder","Ok")</f>
        <v>Reorder</v>
      </c>
      <c r="E14" t="str">
        <f>IF(Table1[[#This Row],[Current Stock]]=0,"Dead","Active")</f>
        <v>Active</v>
      </c>
    </row>
    <row r="15" spans="1:5" x14ac:dyDescent="0.3">
      <c r="A15" t="s">
        <v>45</v>
      </c>
      <c r="B15">
        <v>9</v>
      </c>
      <c r="C15">
        <v>15</v>
      </c>
      <c r="D15" t="str">
        <f>IF(Table1[[#This Row],[Reorder Level]]&lt;Table1[[#This Row],[Current Stock]],"Reorder","Ok")</f>
        <v>Ok</v>
      </c>
      <c r="E15" t="str">
        <f>IF(Table1[[#This Row],[Current Stock]]=0,"Dead","Active")</f>
        <v>Active</v>
      </c>
    </row>
    <row r="16" spans="1:5" x14ac:dyDescent="0.3">
      <c r="A16" t="s">
        <v>48</v>
      </c>
      <c r="B16">
        <v>4</v>
      </c>
      <c r="C16">
        <v>4</v>
      </c>
      <c r="D16" t="str">
        <f>IF(Table1[[#This Row],[Reorder Level]]&lt;Table1[[#This Row],[Current Stock]],"Reorder","Ok")</f>
        <v>Ok</v>
      </c>
      <c r="E16" t="str">
        <f>IF(Table1[[#This Row],[Current Stock]]=0,"Dead","Active")</f>
        <v>Active</v>
      </c>
    </row>
    <row r="17" spans="1:5" x14ac:dyDescent="0.3">
      <c r="A17" t="s">
        <v>51</v>
      </c>
      <c r="B17">
        <v>40</v>
      </c>
      <c r="C17">
        <v>45</v>
      </c>
      <c r="D17" t="str">
        <f>IF(Table1[[#This Row],[Reorder Level]]&lt;Table1[[#This Row],[Current Stock]],"Reorder","Ok")</f>
        <v>Ok</v>
      </c>
      <c r="E17" t="str">
        <f>IF(Table1[[#This Row],[Current Stock]]=0,"Dead","Active")</f>
        <v>Active</v>
      </c>
    </row>
    <row r="18" spans="1:5" x14ac:dyDescent="0.3">
      <c r="A18" t="s">
        <v>54</v>
      </c>
      <c r="B18">
        <v>50</v>
      </c>
      <c r="C18">
        <v>10</v>
      </c>
      <c r="D18" t="str">
        <f>IF(Table1[[#This Row],[Reorder Level]]&lt;Table1[[#This Row],[Current Stock]],"Reorder","Ok")</f>
        <v>Reorder</v>
      </c>
      <c r="E18" t="str">
        <f>IF(Table1[[#This Row],[Current Stock]]=0,"Dead","Active")</f>
        <v>Active</v>
      </c>
    </row>
    <row r="19" spans="1:5" x14ac:dyDescent="0.3">
      <c r="A19" t="s">
        <v>57</v>
      </c>
      <c r="B19">
        <v>3</v>
      </c>
      <c r="C19">
        <v>10</v>
      </c>
      <c r="D19" t="str">
        <f>IF(Table1[[#This Row],[Reorder Level]]&lt;Table1[[#This Row],[Current Stock]],"Reorder","Ok")</f>
        <v>Ok</v>
      </c>
      <c r="E19" t="str">
        <f>IF(Table1[[#This Row],[Current Stock]]=0,"Dead","Active")</f>
        <v>Active</v>
      </c>
    </row>
    <row r="20" spans="1:5" x14ac:dyDescent="0.3">
      <c r="A20" t="s">
        <v>60</v>
      </c>
      <c r="B20">
        <v>6</v>
      </c>
      <c r="C20">
        <v>4</v>
      </c>
      <c r="D20" t="str">
        <f>IF(Table1[[#This Row],[Reorder Level]]&lt;Table1[[#This Row],[Current Stock]],"Reorder","Ok")</f>
        <v>Reorder</v>
      </c>
      <c r="E20" t="str">
        <f>IF(Table1[[#This Row],[Current Stock]]=0,"Dead","Active")</f>
        <v>Active</v>
      </c>
    </row>
    <row r="21" spans="1:5" x14ac:dyDescent="0.3">
      <c r="A21" t="s">
        <v>63</v>
      </c>
      <c r="B21">
        <v>12</v>
      </c>
      <c r="C21">
        <v>5</v>
      </c>
      <c r="D21" t="str">
        <f>IF(Table1[[#This Row],[Reorder Level]]&lt;Table1[[#This Row],[Current Stock]],"Reorder","Ok")</f>
        <v>Reorder</v>
      </c>
      <c r="E21" t="str">
        <f>IF(Table1[[#This Row],[Current Stock]]=0,"Dead","Active")</f>
        <v>Active</v>
      </c>
    </row>
    <row r="22" spans="1:5" x14ac:dyDescent="0.3">
      <c r="A22" t="s">
        <v>66</v>
      </c>
      <c r="B22">
        <v>0</v>
      </c>
      <c r="C22">
        <v>7</v>
      </c>
      <c r="D22" t="str">
        <f>IF(Table1[[#This Row],[Reorder Level]]&lt;Table1[[#This Row],[Current Stock]],"Reorder","Ok")</f>
        <v>Ok</v>
      </c>
      <c r="E22" t="str">
        <f>IF(Table1[[#This Row],[Current Stock]]=0,"Dead","Active")</f>
        <v>Dead</v>
      </c>
    </row>
    <row r="31" spans="1:5" x14ac:dyDescent="0.3">
      <c r="A31" s="1"/>
      <c r="B31" s="3"/>
      <c r="C31"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33BA-4B3E-41DA-B0BB-8830A42EA3B6}">
  <dimension ref="A1:C4"/>
  <sheetViews>
    <sheetView workbookViewId="0">
      <selection activeCell="A2" sqref="A2"/>
    </sheetView>
  </sheetViews>
  <sheetFormatPr defaultRowHeight="14.4" x14ac:dyDescent="0.3"/>
  <cols>
    <col min="1" max="1" width="10.33203125" bestFit="1" customWidth="1"/>
  </cols>
  <sheetData>
    <row r="1" spans="1:3" x14ac:dyDescent="0.3">
      <c r="A1" t="s">
        <v>188</v>
      </c>
      <c r="B1" t="s">
        <v>178</v>
      </c>
      <c r="C1" t="s">
        <v>189</v>
      </c>
    </row>
    <row r="2" spans="1:3" x14ac:dyDescent="0.3">
      <c r="A2" s="6">
        <v>46023</v>
      </c>
      <c r="B2" t="str">
        <f>TEXT(A2,"MMM")</f>
        <v>Jan</v>
      </c>
      <c r="C2">
        <f>YEAR(A2)</f>
        <v>2026</v>
      </c>
    </row>
    <row r="3" spans="1:3" x14ac:dyDescent="0.3">
      <c r="A3" s="6">
        <v>46054</v>
      </c>
      <c r="B3" t="str">
        <f t="shared" ref="B3:B4" si="0">TEXT(A3,"MMM")</f>
        <v>Feb</v>
      </c>
      <c r="C3">
        <f t="shared" ref="C3:C4" si="1">YEAR(A3)</f>
        <v>2026</v>
      </c>
    </row>
    <row r="4" spans="1:3" x14ac:dyDescent="0.3">
      <c r="A4" s="6">
        <v>46082</v>
      </c>
      <c r="B4" t="str">
        <f t="shared" si="0"/>
        <v>Mar</v>
      </c>
      <c r="C4">
        <f t="shared" si="1"/>
        <v>2026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9597-268B-4CAE-8F09-EEEA603A5EB3}">
  <dimension ref="A1:AZ53"/>
  <sheetViews>
    <sheetView topLeftCell="AA1" zoomScale="70" workbookViewId="0">
      <selection activeCell="BE20" sqref="BE20"/>
    </sheetView>
  </sheetViews>
  <sheetFormatPr defaultRowHeight="14.4" x14ac:dyDescent="0.3"/>
  <cols>
    <col min="1" max="1" width="13.88671875" bestFit="1" customWidth="1"/>
    <col min="2" max="2" width="10" bestFit="1" customWidth="1"/>
    <col min="13" max="13" width="13.88671875" bestFit="1" customWidth="1"/>
    <col min="14" max="14" width="10" bestFit="1" customWidth="1"/>
    <col min="15" max="16" width="4.21875" bestFit="1" customWidth="1"/>
    <col min="17" max="17" width="10.77734375" bestFit="1" customWidth="1"/>
    <col min="18" max="18" width="10.5546875" bestFit="1" customWidth="1"/>
    <col min="24" max="24" width="13.88671875" bestFit="1" customWidth="1"/>
    <col min="25" max="25" width="19.109375" bestFit="1" customWidth="1"/>
    <col min="26" max="26" width="13" bestFit="1" customWidth="1"/>
    <col min="27" max="27" width="7.21875" customWidth="1"/>
    <col min="28" max="28" width="13.88671875" bestFit="1" customWidth="1"/>
    <col min="29" max="29" width="19.109375" bestFit="1" customWidth="1"/>
    <col min="30" max="30" width="2" bestFit="1" customWidth="1"/>
    <col min="31" max="40" width="3" bestFit="1" customWidth="1"/>
    <col min="41" max="41" width="13.88671875" bestFit="1" customWidth="1"/>
    <col min="42" max="42" width="10" bestFit="1" customWidth="1"/>
    <col min="44" max="45" width="10" bestFit="1" customWidth="1"/>
    <col min="46" max="46" width="15" bestFit="1" customWidth="1"/>
    <col min="47" max="47" width="13.77734375" bestFit="1" customWidth="1"/>
    <col min="48" max="48" width="11.21875" bestFit="1" customWidth="1"/>
    <col min="49" max="49" width="9.33203125" bestFit="1" customWidth="1"/>
    <col min="50" max="50" width="13.33203125" bestFit="1" customWidth="1"/>
    <col min="51" max="51" width="16.44140625" bestFit="1" customWidth="1"/>
    <col min="52" max="52" width="15" bestFit="1" customWidth="1"/>
  </cols>
  <sheetData>
    <row r="1" spans="1:42" x14ac:dyDescent="0.3">
      <c r="M1" s="7" t="s">
        <v>190</v>
      </c>
      <c r="N1" t="s">
        <v>181</v>
      </c>
      <c r="AB1" s="7" t="s">
        <v>202</v>
      </c>
      <c r="AC1" t="s" vm="2">
        <v>205</v>
      </c>
      <c r="AO1" s="7" t="s">
        <v>190</v>
      </c>
      <c r="AP1" t="s">
        <v>181</v>
      </c>
    </row>
    <row r="2" spans="1:42" x14ac:dyDescent="0.3">
      <c r="M2" s="8" t="s">
        <v>127</v>
      </c>
      <c r="N2">
        <v>2000</v>
      </c>
      <c r="X2" s="7" t="s">
        <v>190</v>
      </c>
      <c r="Y2" t="s">
        <v>176</v>
      </c>
      <c r="Z2" t="s">
        <v>177</v>
      </c>
      <c r="AO2" s="8" t="s">
        <v>194</v>
      </c>
      <c r="AP2">
        <v>21100</v>
      </c>
    </row>
    <row r="3" spans="1:42" x14ac:dyDescent="0.3">
      <c r="A3" s="7" t="s">
        <v>190</v>
      </c>
      <c r="B3" t="s">
        <v>181</v>
      </c>
      <c r="M3" s="8" t="s">
        <v>85</v>
      </c>
      <c r="N3">
        <v>9500</v>
      </c>
      <c r="X3" s="8" t="s">
        <v>203</v>
      </c>
      <c r="AB3" s="7" t="s">
        <v>190</v>
      </c>
      <c r="AC3" t="s">
        <v>201</v>
      </c>
      <c r="AO3" s="8" t="s">
        <v>193</v>
      </c>
      <c r="AP3">
        <v>26100</v>
      </c>
    </row>
    <row r="4" spans="1:42" x14ac:dyDescent="0.3">
      <c r="A4" s="8" t="s">
        <v>166</v>
      </c>
      <c r="B4" s="23">
        <v>9800</v>
      </c>
      <c r="M4" s="8" t="s">
        <v>146</v>
      </c>
      <c r="N4">
        <v>2500</v>
      </c>
      <c r="X4" s="9" t="s">
        <v>164</v>
      </c>
      <c r="Y4">
        <v>30</v>
      </c>
      <c r="Z4">
        <v>47</v>
      </c>
      <c r="AB4" s="8" t="s">
        <v>164</v>
      </c>
      <c r="AC4">
        <v>60</v>
      </c>
      <c r="AO4" s="8" t="s">
        <v>195</v>
      </c>
      <c r="AP4">
        <v>16100</v>
      </c>
    </row>
    <row r="5" spans="1:42" x14ac:dyDescent="0.3">
      <c r="A5" s="8" t="s">
        <v>167</v>
      </c>
      <c r="B5" s="23">
        <v>1000</v>
      </c>
      <c r="M5" s="8" t="s">
        <v>119</v>
      </c>
      <c r="N5">
        <v>9300</v>
      </c>
      <c r="X5" s="9" t="s">
        <v>152</v>
      </c>
      <c r="Y5">
        <v>80</v>
      </c>
      <c r="Z5">
        <v>90</v>
      </c>
      <c r="AB5" s="8" t="s">
        <v>152</v>
      </c>
      <c r="AC5">
        <v>165</v>
      </c>
      <c r="AO5" s="8" t="s">
        <v>191</v>
      </c>
      <c r="AP5">
        <v>63300</v>
      </c>
    </row>
    <row r="6" spans="1:42" x14ac:dyDescent="0.3">
      <c r="A6" s="8" t="s">
        <v>163</v>
      </c>
      <c r="B6" s="23">
        <v>1200</v>
      </c>
      <c r="M6" s="8" t="s">
        <v>104</v>
      </c>
      <c r="N6">
        <v>2200</v>
      </c>
      <c r="X6" s="9" t="s">
        <v>158</v>
      </c>
      <c r="Y6">
        <v>20</v>
      </c>
      <c r="Z6">
        <v>52</v>
      </c>
      <c r="AB6" s="8" t="s">
        <v>158</v>
      </c>
      <c r="AC6">
        <v>57</v>
      </c>
    </row>
    <row r="7" spans="1:42" x14ac:dyDescent="0.3">
      <c r="A7" s="8" t="s">
        <v>165</v>
      </c>
      <c r="B7" s="23">
        <v>1500</v>
      </c>
      <c r="M7" s="8" t="s">
        <v>102</v>
      </c>
      <c r="N7">
        <v>3600</v>
      </c>
      <c r="X7" s="9" t="s">
        <v>156</v>
      </c>
      <c r="Y7">
        <v>3</v>
      </c>
      <c r="Z7">
        <v>15</v>
      </c>
      <c r="AB7" s="8" t="s">
        <v>156</v>
      </c>
      <c r="AC7">
        <v>9</v>
      </c>
    </row>
    <row r="8" spans="1:42" x14ac:dyDescent="0.3">
      <c r="A8" s="8" t="s">
        <v>175</v>
      </c>
      <c r="B8" s="23">
        <v>2500</v>
      </c>
      <c r="M8" s="8" t="s">
        <v>113</v>
      </c>
      <c r="N8">
        <v>8000</v>
      </c>
      <c r="X8" s="8" t="s">
        <v>204</v>
      </c>
      <c r="AB8" s="8" t="s">
        <v>191</v>
      </c>
      <c r="AC8">
        <v>291</v>
      </c>
    </row>
    <row r="9" spans="1:42" x14ac:dyDescent="0.3">
      <c r="A9" s="8" t="s">
        <v>191</v>
      </c>
      <c r="B9" s="23">
        <v>16000</v>
      </c>
      <c r="M9" s="8" t="s">
        <v>89</v>
      </c>
      <c r="N9">
        <v>3600</v>
      </c>
      <c r="X9" s="9" t="s">
        <v>164</v>
      </c>
      <c r="Y9">
        <v>30</v>
      </c>
      <c r="Z9">
        <v>10</v>
      </c>
    </row>
    <row r="10" spans="1:42" x14ac:dyDescent="0.3">
      <c r="M10" s="8" t="s">
        <v>93</v>
      </c>
      <c r="N10">
        <v>2400</v>
      </c>
      <c r="X10" s="9" t="s">
        <v>152</v>
      </c>
      <c r="Y10">
        <v>85</v>
      </c>
      <c r="Z10">
        <v>25</v>
      </c>
    </row>
    <row r="11" spans="1:42" x14ac:dyDescent="0.3">
      <c r="M11" s="8" t="s">
        <v>133</v>
      </c>
      <c r="N11">
        <v>2500</v>
      </c>
      <c r="X11" s="9" t="s">
        <v>158</v>
      </c>
      <c r="Y11">
        <v>37</v>
      </c>
      <c r="Z11">
        <v>25</v>
      </c>
    </row>
    <row r="12" spans="1:42" x14ac:dyDescent="0.3">
      <c r="M12" s="8" t="s">
        <v>191</v>
      </c>
      <c r="N12">
        <v>45600</v>
      </c>
      <c r="X12" s="9" t="s">
        <v>156</v>
      </c>
      <c r="Y12">
        <v>6</v>
      </c>
      <c r="Z12">
        <v>4</v>
      </c>
    </row>
    <row r="13" spans="1:42" x14ac:dyDescent="0.3">
      <c r="X13" s="8" t="s">
        <v>191</v>
      </c>
      <c r="Y13">
        <v>291</v>
      </c>
      <c r="Z13">
        <v>268</v>
      </c>
    </row>
    <row r="14" spans="1:42" x14ac:dyDescent="0.3">
      <c r="M14" s="7" t="s">
        <v>190</v>
      </c>
      <c r="N14" t="s">
        <v>181</v>
      </c>
    </row>
    <row r="15" spans="1:42" x14ac:dyDescent="0.3">
      <c r="M15" s="8" t="s">
        <v>88</v>
      </c>
      <c r="N15">
        <v>28200</v>
      </c>
    </row>
    <row r="16" spans="1:42" x14ac:dyDescent="0.3">
      <c r="M16" s="8" t="s">
        <v>92</v>
      </c>
      <c r="N16">
        <v>21700</v>
      </c>
    </row>
    <row r="17" spans="1:42" x14ac:dyDescent="0.3">
      <c r="M17" s="8" t="s">
        <v>99</v>
      </c>
      <c r="N17">
        <v>13400</v>
      </c>
      <c r="AO17" s="7" t="s">
        <v>190</v>
      </c>
      <c r="AP17" t="s">
        <v>207</v>
      </c>
    </row>
    <row r="18" spans="1:42" x14ac:dyDescent="0.3">
      <c r="M18" s="8" t="s">
        <v>191</v>
      </c>
      <c r="N18">
        <v>63300</v>
      </c>
      <c r="AO18" s="8" t="s">
        <v>164</v>
      </c>
      <c r="AP18">
        <v>16</v>
      </c>
    </row>
    <row r="19" spans="1:42" x14ac:dyDescent="0.3">
      <c r="AO19" s="8" t="s">
        <v>152</v>
      </c>
      <c r="AP19">
        <v>30</v>
      </c>
    </row>
    <row r="20" spans="1:42" x14ac:dyDescent="0.3">
      <c r="AO20" s="8" t="s">
        <v>158</v>
      </c>
      <c r="AP20">
        <v>26</v>
      </c>
    </row>
    <row r="21" spans="1:42" x14ac:dyDescent="0.3">
      <c r="AO21" s="8" t="s">
        <v>156</v>
      </c>
      <c r="AP21">
        <v>13</v>
      </c>
    </row>
    <row r="22" spans="1:42" x14ac:dyDescent="0.3">
      <c r="AO22" s="8" t="s">
        <v>191</v>
      </c>
      <c r="AP22">
        <v>85</v>
      </c>
    </row>
    <row r="28" spans="1:42" x14ac:dyDescent="0.3">
      <c r="A28" s="7" t="s">
        <v>190</v>
      </c>
      <c r="B28" t="s">
        <v>181</v>
      </c>
    </row>
    <row r="29" spans="1:42" x14ac:dyDescent="0.3">
      <c r="A29" s="8" t="s">
        <v>186</v>
      </c>
      <c r="B29" s="23">
        <v>8000</v>
      </c>
    </row>
    <row r="30" spans="1:42" x14ac:dyDescent="0.3">
      <c r="A30" s="8" t="s">
        <v>187</v>
      </c>
      <c r="B30" s="23">
        <v>1000</v>
      </c>
    </row>
    <row r="31" spans="1:42" x14ac:dyDescent="0.3">
      <c r="A31" s="8" t="s">
        <v>185</v>
      </c>
      <c r="B31" s="23">
        <v>4000</v>
      </c>
    </row>
    <row r="32" spans="1:42" x14ac:dyDescent="0.3">
      <c r="A32" s="8" t="s">
        <v>183</v>
      </c>
      <c r="B32" s="23">
        <v>3000</v>
      </c>
      <c r="M32" s="7" t="s">
        <v>197</v>
      </c>
      <c r="N32" t="s" vm="1">
        <v>198</v>
      </c>
    </row>
    <row r="33" spans="1:52" x14ac:dyDescent="0.3">
      <c r="A33" s="8" t="s">
        <v>191</v>
      </c>
      <c r="B33" s="23">
        <v>16000</v>
      </c>
    </row>
    <row r="34" spans="1:52" x14ac:dyDescent="0.3">
      <c r="N34" s="7" t="s">
        <v>200</v>
      </c>
    </row>
    <row r="35" spans="1:52" x14ac:dyDescent="0.3">
      <c r="N35" t="s">
        <v>194</v>
      </c>
      <c r="O35" t="s">
        <v>193</v>
      </c>
      <c r="P35" t="s">
        <v>195</v>
      </c>
      <c r="Q35" t="s">
        <v>191</v>
      </c>
      <c r="AR35" t="s">
        <v>181</v>
      </c>
      <c r="AS35" t="s">
        <v>208</v>
      </c>
      <c r="AT35" t="s">
        <v>209</v>
      </c>
      <c r="AU35" t="s">
        <v>210</v>
      </c>
      <c r="AV35" t="s">
        <v>211</v>
      </c>
      <c r="AW35" t="s">
        <v>212</v>
      </c>
      <c r="AX35" t="s">
        <v>213</v>
      </c>
      <c r="AY35" t="s">
        <v>214</v>
      </c>
      <c r="AZ35" t="s">
        <v>215</v>
      </c>
    </row>
    <row r="36" spans="1:52" x14ac:dyDescent="0.3">
      <c r="A36" s="7" t="s">
        <v>190</v>
      </c>
      <c r="B36" t="s">
        <v>181</v>
      </c>
      <c r="M36" t="s">
        <v>199</v>
      </c>
      <c r="N36">
        <v>4</v>
      </c>
      <c r="O36">
        <v>1</v>
      </c>
      <c r="P36">
        <v>2</v>
      </c>
      <c r="Q36">
        <v>7</v>
      </c>
      <c r="AR36">
        <v>63300</v>
      </c>
      <c r="AS36">
        <v>9800</v>
      </c>
      <c r="AT36">
        <v>0.15481832543443919</v>
      </c>
      <c r="AU36">
        <v>2182.7586206896553</v>
      </c>
      <c r="AV36">
        <v>29</v>
      </c>
      <c r="AW36">
        <v>24</v>
      </c>
      <c r="AX36">
        <v>4568.0412371134016</v>
      </c>
      <c r="AY36">
        <v>0.76265060240963856</v>
      </c>
      <c r="AZ36">
        <v>8.3333333333333321</v>
      </c>
    </row>
    <row r="37" spans="1:52" x14ac:dyDescent="0.3">
      <c r="A37" s="8" t="s">
        <v>194</v>
      </c>
      <c r="B37" s="23">
        <v>1200</v>
      </c>
    </row>
    <row r="38" spans="1:52" x14ac:dyDescent="0.3">
      <c r="A38" s="8" t="s">
        <v>193</v>
      </c>
      <c r="B38" s="23">
        <v>10500</v>
      </c>
    </row>
    <row r="39" spans="1:52" x14ac:dyDescent="0.3">
      <c r="A39" s="8" t="s">
        <v>195</v>
      </c>
      <c r="B39" s="23">
        <v>4300</v>
      </c>
    </row>
    <row r="40" spans="1:52" x14ac:dyDescent="0.3">
      <c r="A40" s="8" t="s">
        <v>191</v>
      </c>
      <c r="B40" s="23">
        <v>16000</v>
      </c>
    </row>
    <row r="46" spans="1:52" x14ac:dyDescent="0.3">
      <c r="X46" s="7" t="s">
        <v>206</v>
      </c>
      <c r="Y46" t="s" vm="3">
        <v>205</v>
      </c>
    </row>
    <row r="48" spans="1:52" x14ac:dyDescent="0.3">
      <c r="X48" s="7" t="s">
        <v>190</v>
      </c>
      <c r="Y48" t="s">
        <v>201</v>
      </c>
    </row>
    <row r="49" spans="24:25" x14ac:dyDescent="0.3">
      <c r="X49" s="8" t="s">
        <v>164</v>
      </c>
      <c r="Y49">
        <v>60</v>
      </c>
    </row>
    <row r="50" spans="24:25" x14ac:dyDescent="0.3">
      <c r="X50" s="8" t="s">
        <v>152</v>
      </c>
      <c r="Y50">
        <v>165</v>
      </c>
    </row>
    <row r="51" spans="24:25" x14ac:dyDescent="0.3">
      <c r="X51" s="8" t="s">
        <v>158</v>
      </c>
      <c r="Y51">
        <v>57</v>
      </c>
    </row>
    <row r="52" spans="24:25" x14ac:dyDescent="0.3">
      <c r="X52" s="8" t="s">
        <v>156</v>
      </c>
      <c r="Y52">
        <v>9</v>
      </c>
    </row>
    <row r="53" spans="24:25" x14ac:dyDescent="0.3">
      <c r="X53" s="8" t="s">
        <v>191</v>
      </c>
      <c r="Y53">
        <v>291</v>
      </c>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E63E-8C69-4F78-AB4F-9C00797429FA}">
  <dimension ref="A1:R42"/>
  <sheetViews>
    <sheetView zoomScale="48" workbookViewId="0">
      <selection activeCell="I19" sqref="I19"/>
    </sheetView>
  </sheetViews>
  <sheetFormatPr defaultRowHeight="14.4" x14ac:dyDescent="0.3"/>
  <cols>
    <col min="4" max="4" width="9.5546875" bestFit="1" customWidth="1"/>
  </cols>
  <sheetData>
    <row r="1" spans="1:18" x14ac:dyDescent="0.3">
      <c r="A1" s="17"/>
      <c r="B1" s="17"/>
      <c r="C1" s="17"/>
      <c r="D1" s="17"/>
      <c r="E1" s="17"/>
      <c r="F1" s="17"/>
      <c r="G1" s="17"/>
      <c r="H1" s="17"/>
      <c r="I1" s="17"/>
      <c r="J1" s="17"/>
      <c r="K1" s="17"/>
      <c r="L1" s="17"/>
      <c r="M1" s="17"/>
      <c r="N1" s="17"/>
      <c r="O1" s="17"/>
      <c r="P1" s="17"/>
      <c r="Q1" s="17"/>
      <c r="R1" s="17"/>
    </row>
    <row r="2" spans="1:18" x14ac:dyDescent="0.3">
      <c r="A2" s="17"/>
      <c r="B2" s="17"/>
      <c r="C2" s="17"/>
      <c r="D2" s="17"/>
      <c r="E2" s="17"/>
      <c r="F2" s="17"/>
      <c r="G2" s="17"/>
      <c r="H2" s="17"/>
      <c r="I2" s="17"/>
      <c r="J2" s="17"/>
      <c r="K2" s="17"/>
      <c r="L2" s="17"/>
      <c r="M2" s="17"/>
      <c r="N2" s="17"/>
      <c r="O2" s="17"/>
      <c r="P2" s="17"/>
      <c r="Q2" s="17"/>
      <c r="R2" s="17"/>
    </row>
    <row r="3" spans="1:18" x14ac:dyDescent="0.3">
      <c r="A3" s="17"/>
      <c r="B3" s="17"/>
      <c r="C3" s="17"/>
      <c r="D3" s="17"/>
      <c r="E3" s="17"/>
      <c r="F3" s="17"/>
      <c r="G3" s="17"/>
      <c r="H3" s="17"/>
      <c r="I3" s="17"/>
      <c r="J3" s="17"/>
      <c r="K3" s="17"/>
      <c r="L3" s="17"/>
      <c r="M3" s="17"/>
      <c r="N3" s="17"/>
      <c r="O3" s="17"/>
      <c r="P3" s="17"/>
      <c r="Q3" s="17"/>
      <c r="R3" s="17"/>
    </row>
    <row r="4" spans="1:18" x14ac:dyDescent="0.3">
      <c r="A4" s="17"/>
      <c r="B4" s="17"/>
      <c r="C4" s="17"/>
      <c r="D4" s="17"/>
      <c r="E4" s="17"/>
      <c r="F4" s="17"/>
      <c r="G4" s="17"/>
      <c r="H4" s="17"/>
      <c r="I4" s="17"/>
      <c r="J4" s="17"/>
      <c r="K4" s="17"/>
      <c r="L4" s="17"/>
      <c r="M4" s="17"/>
      <c r="N4" s="17"/>
      <c r="O4" s="17"/>
      <c r="P4" s="17"/>
      <c r="Q4" s="17"/>
      <c r="R4" s="17"/>
    </row>
    <row r="5" spans="1:18" x14ac:dyDescent="0.3">
      <c r="A5" s="17"/>
      <c r="B5" s="17"/>
      <c r="C5" s="17"/>
      <c r="D5" s="17"/>
      <c r="E5" s="17"/>
      <c r="F5" s="17"/>
      <c r="G5" s="17"/>
      <c r="H5" s="17"/>
      <c r="I5" s="17"/>
      <c r="J5" s="17"/>
      <c r="K5" s="17"/>
      <c r="L5" s="17"/>
      <c r="M5" s="17"/>
      <c r="N5" s="17"/>
      <c r="O5" s="17"/>
      <c r="P5" s="17"/>
      <c r="Q5" s="17"/>
      <c r="R5" s="17"/>
    </row>
    <row r="6" spans="1:18" x14ac:dyDescent="0.3">
      <c r="A6" s="17"/>
      <c r="B6" s="17"/>
      <c r="C6" s="17"/>
      <c r="D6" s="17"/>
      <c r="E6" s="17"/>
      <c r="F6" s="17"/>
      <c r="G6" s="17"/>
      <c r="H6" s="17"/>
      <c r="I6" s="17"/>
      <c r="J6" s="17"/>
      <c r="K6" s="17"/>
      <c r="L6" s="17"/>
      <c r="M6" s="17"/>
      <c r="N6" s="17"/>
      <c r="O6" s="17"/>
      <c r="P6" s="17"/>
      <c r="Q6" s="17"/>
      <c r="R6" s="17"/>
    </row>
    <row r="7" spans="1:18" x14ac:dyDescent="0.3">
      <c r="A7" s="17"/>
      <c r="B7" s="17"/>
      <c r="C7" s="17"/>
      <c r="D7" s="17"/>
      <c r="E7" s="17"/>
      <c r="F7" s="17"/>
      <c r="G7" s="17"/>
      <c r="H7" s="17"/>
      <c r="I7" s="17"/>
      <c r="J7" s="17"/>
      <c r="K7" s="17"/>
      <c r="L7" s="17"/>
      <c r="M7" s="17"/>
      <c r="N7" s="17"/>
      <c r="O7" s="17"/>
      <c r="P7" s="17"/>
      <c r="Q7" s="17"/>
      <c r="R7" s="17"/>
    </row>
    <row r="8" spans="1:18" x14ac:dyDescent="0.3">
      <c r="A8" s="17"/>
      <c r="B8" s="17"/>
      <c r="C8" s="17"/>
      <c r="D8" s="17"/>
      <c r="E8" s="17"/>
      <c r="F8" s="17"/>
      <c r="G8" s="17"/>
      <c r="H8" s="17"/>
      <c r="I8" s="17"/>
      <c r="J8" s="17"/>
      <c r="K8" s="17"/>
      <c r="L8" s="17"/>
      <c r="M8" s="17"/>
      <c r="N8" s="17"/>
      <c r="O8" s="17"/>
      <c r="P8" s="17"/>
      <c r="Q8" s="17"/>
      <c r="R8" s="17"/>
    </row>
    <row r="9" spans="1:18" ht="28.8" x14ac:dyDescent="0.55000000000000004">
      <c r="A9" s="17"/>
      <c r="B9" s="17"/>
      <c r="C9" s="17"/>
      <c r="D9" s="17"/>
      <c r="E9" s="17"/>
      <c r="F9" s="17"/>
      <c r="G9" s="17"/>
      <c r="H9" s="20"/>
      <c r="I9" s="20" t="s">
        <v>217</v>
      </c>
      <c r="J9" s="20"/>
      <c r="K9" s="17"/>
      <c r="L9" s="17"/>
      <c r="M9" s="17"/>
      <c r="N9" s="17"/>
      <c r="O9" s="17"/>
      <c r="P9" s="17"/>
      <c r="Q9" s="17"/>
      <c r="R9" s="17"/>
    </row>
    <row r="10" spans="1:18" ht="28.8" x14ac:dyDescent="0.55000000000000004">
      <c r="A10" s="17"/>
      <c r="B10" s="17"/>
      <c r="C10" s="17"/>
      <c r="D10" s="20" t="s">
        <v>216</v>
      </c>
      <c r="E10" s="17"/>
      <c r="F10" s="17"/>
      <c r="G10" s="17"/>
      <c r="H10" s="17"/>
      <c r="I10" s="19"/>
      <c r="J10" s="17"/>
      <c r="K10" s="17"/>
      <c r="L10" s="17"/>
      <c r="M10" s="17"/>
      <c r="N10" s="20"/>
      <c r="O10" s="17"/>
      <c r="P10" s="17"/>
      <c r="Q10" s="17"/>
      <c r="R10" s="17"/>
    </row>
    <row r="11" spans="1:18" ht="23.4" x14ac:dyDescent="0.45">
      <c r="A11" s="17"/>
      <c r="B11" s="17"/>
      <c r="C11" s="17"/>
      <c r="D11" s="17"/>
      <c r="E11" s="17"/>
      <c r="F11" s="17"/>
      <c r="G11" s="17"/>
      <c r="H11" s="17"/>
      <c r="I11" s="19">
        <f>GETPIVOTDATA("[Measures].[total profit]",Sheet1!$AR$35)</f>
        <v>9800</v>
      </c>
      <c r="J11" s="17"/>
      <c r="K11" s="17"/>
      <c r="L11" s="17"/>
      <c r="M11" s="17"/>
      <c r="N11" s="17"/>
      <c r="O11" s="17"/>
      <c r="P11" s="17"/>
      <c r="Q11" s="17"/>
      <c r="R11" s="17"/>
    </row>
    <row r="12" spans="1:18" ht="23.4" x14ac:dyDescent="0.45">
      <c r="A12" s="17"/>
      <c r="B12" s="17"/>
      <c r="C12" s="17"/>
      <c r="D12" s="19">
        <f>GETPIVOTDATA("[Measures].[total sales]",Sheet1!$AR$35)</f>
        <v>63300</v>
      </c>
      <c r="E12" s="17"/>
      <c r="F12" s="17"/>
      <c r="G12" s="17"/>
      <c r="H12" s="17"/>
      <c r="I12" s="17"/>
      <c r="J12" s="17"/>
      <c r="K12" s="17"/>
      <c r="L12" s="17"/>
      <c r="M12" s="17"/>
      <c r="N12" s="19"/>
      <c r="O12" s="17"/>
      <c r="P12" s="17"/>
      <c r="Q12" s="17"/>
      <c r="R12" s="17"/>
    </row>
    <row r="13" spans="1:18" x14ac:dyDescent="0.3">
      <c r="A13" s="17"/>
      <c r="B13" s="17"/>
      <c r="C13" s="17"/>
      <c r="D13" s="17"/>
      <c r="E13" s="17"/>
      <c r="F13" s="17"/>
      <c r="G13" s="17"/>
      <c r="H13" s="17"/>
      <c r="I13" s="17"/>
      <c r="J13" s="17"/>
      <c r="K13" s="17"/>
      <c r="L13" s="17"/>
      <c r="M13" s="17"/>
      <c r="N13" s="17"/>
      <c r="O13" s="17"/>
      <c r="P13" s="17"/>
      <c r="Q13" s="17"/>
      <c r="R13" s="17"/>
    </row>
    <row r="14" spans="1:18" x14ac:dyDescent="0.3">
      <c r="A14" s="17"/>
      <c r="B14" s="17"/>
      <c r="C14" s="17"/>
      <c r="D14" s="17"/>
      <c r="E14" s="17"/>
      <c r="F14" s="17"/>
      <c r="G14" s="17"/>
      <c r="H14" s="17"/>
      <c r="I14" s="17"/>
      <c r="J14" s="17"/>
      <c r="K14" s="17"/>
      <c r="L14" s="17"/>
      <c r="M14" s="17"/>
      <c r="N14" s="17"/>
      <c r="O14" s="17"/>
      <c r="P14" s="17"/>
      <c r="Q14" s="17"/>
      <c r="R14" s="17"/>
    </row>
    <row r="15" spans="1:18" x14ac:dyDescent="0.3">
      <c r="A15" s="17"/>
      <c r="B15" s="17"/>
      <c r="C15" s="17"/>
      <c r="D15" s="17"/>
      <c r="E15" s="17"/>
      <c r="F15" s="17"/>
      <c r="G15" s="17"/>
      <c r="H15" s="17"/>
      <c r="I15" s="17"/>
      <c r="J15" s="17"/>
      <c r="K15" s="17"/>
      <c r="L15" s="17"/>
      <c r="M15" s="17"/>
      <c r="N15" s="17"/>
      <c r="O15" s="17"/>
      <c r="P15" s="17"/>
      <c r="Q15" s="17"/>
      <c r="R15" s="17"/>
    </row>
    <row r="16" spans="1:18" x14ac:dyDescent="0.3">
      <c r="A16" s="17"/>
      <c r="B16" s="17"/>
      <c r="C16" s="17"/>
      <c r="D16" s="17"/>
      <c r="E16" s="17"/>
      <c r="F16" s="17"/>
      <c r="G16" s="17"/>
      <c r="H16" s="17"/>
      <c r="I16" s="17"/>
      <c r="J16" s="17"/>
      <c r="K16" s="17"/>
      <c r="L16" s="17"/>
      <c r="M16" s="17"/>
      <c r="N16" s="17"/>
      <c r="O16" s="17"/>
      <c r="P16" s="17"/>
      <c r="Q16" s="17"/>
      <c r="R16" s="17"/>
    </row>
    <row r="17" spans="1:18" x14ac:dyDescent="0.3">
      <c r="A17" s="17"/>
      <c r="B17" s="17"/>
      <c r="C17" s="17"/>
      <c r="D17" s="17"/>
      <c r="E17" s="17"/>
      <c r="F17" s="17"/>
      <c r="G17" s="17"/>
      <c r="H17" s="17"/>
      <c r="I17" s="17"/>
      <c r="J17" s="17"/>
      <c r="K17" s="17"/>
      <c r="L17" s="17"/>
      <c r="M17" s="17"/>
      <c r="N17" s="17"/>
      <c r="O17" s="17"/>
      <c r="P17" s="17"/>
      <c r="Q17" s="17"/>
      <c r="R17" s="17"/>
    </row>
    <row r="18" spans="1:18" ht="18" x14ac:dyDescent="0.35">
      <c r="A18" s="17"/>
      <c r="B18" s="17"/>
      <c r="C18" s="17"/>
      <c r="D18" s="17"/>
      <c r="E18" s="17"/>
      <c r="F18" s="17"/>
      <c r="G18" s="17"/>
      <c r="H18" s="17"/>
      <c r="I18" s="22"/>
      <c r="J18" s="22"/>
      <c r="K18" s="17"/>
      <c r="L18" s="17"/>
      <c r="M18" s="17"/>
      <c r="N18" s="17"/>
      <c r="O18" s="17"/>
      <c r="P18" s="17"/>
      <c r="Q18" s="17"/>
      <c r="R18" s="17"/>
    </row>
    <row r="19" spans="1:18" ht="28.8" x14ac:dyDescent="0.55000000000000004">
      <c r="A19" s="17"/>
      <c r="B19" s="17"/>
      <c r="C19" s="17"/>
      <c r="D19" s="20" t="s">
        <v>218</v>
      </c>
      <c r="E19" s="17"/>
      <c r="F19" s="17"/>
      <c r="G19" s="17"/>
      <c r="H19" s="17"/>
      <c r="I19" s="17"/>
      <c r="J19" s="17"/>
      <c r="K19" s="17"/>
      <c r="L19" s="17"/>
      <c r="M19" s="20" t="s">
        <v>219</v>
      </c>
      <c r="N19" s="18"/>
      <c r="O19" s="18"/>
      <c r="P19" s="18"/>
      <c r="Q19" s="17"/>
      <c r="R19" s="17"/>
    </row>
    <row r="20" spans="1:18" ht="23.4" x14ac:dyDescent="0.45">
      <c r="A20" s="17"/>
      <c r="B20" s="17"/>
      <c r="C20" s="17"/>
      <c r="D20" s="17"/>
      <c r="E20" s="17"/>
      <c r="F20" s="17"/>
      <c r="G20" s="17"/>
      <c r="H20" s="17"/>
      <c r="I20" s="19"/>
      <c r="J20" s="17"/>
      <c r="K20" s="17"/>
      <c r="L20" s="17"/>
      <c r="M20" s="17"/>
      <c r="N20" s="17"/>
      <c r="O20" s="17"/>
      <c r="P20" s="17"/>
      <c r="Q20" s="17"/>
      <c r="R20" s="17"/>
    </row>
    <row r="21" spans="1:18" ht="21" x14ac:dyDescent="0.4">
      <c r="A21" s="17"/>
      <c r="B21" s="17"/>
      <c r="C21" s="17"/>
      <c r="D21" s="21">
        <f>GETPIVOTDATA("[Measures].[mprofit margin%]",Sheet1!$AR$35)</f>
        <v>0.15481832543443919</v>
      </c>
      <c r="E21" s="17"/>
      <c r="F21" s="17"/>
      <c r="G21" s="17"/>
      <c r="H21" s="17"/>
      <c r="I21" s="17"/>
      <c r="J21" s="17"/>
      <c r="K21" s="17"/>
      <c r="L21" s="17"/>
      <c r="M21" s="17"/>
      <c r="N21" s="21">
        <f>GETPIVOTDATA("[Measures].[cust retention %]",Sheet1!$AR$35)</f>
        <v>8.3333333333333321</v>
      </c>
      <c r="O21" s="17"/>
      <c r="P21" s="17"/>
      <c r="Q21" s="17"/>
      <c r="R21" s="17"/>
    </row>
    <row r="22" spans="1:18" x14ac:dyDescent="0.3">
      <c r="A22" s="17"/>
      <c r="B22" s="17"/>
      <c r="C22" s="17"/>
      <c r="D22" s="17"/>
      <c r="E22" s="17"/>
      <c r="F22" s="17"/>
      <c r="G22" s="17"/>
      <c r="H22" s="17"/>
      <c r="I22" s="17"/>
      <c r="J22" s="17"/>
      <c r="K22" s="17"/>
      <c r="L22" s="17"/>
      <c r="M22" s="17"/>
      <c r="N22" s="17"/>
      <c r="O22" s="17"/>
      <c r="P22" s="17"/>
      <c r="Q22" s="17"/>
      <c r="R22" s="17"/>
    </row>
    <row r="23" spans="1:18" x14ac:dyDescent="0.3">
      <c r="A23" s="17"/>
      <c r="B23" s="17"/>
      <c r="C23" s="17"/>
      <c r="D23" s="17"/>
      <c r="E23" s="17"/>
      <c r="F23" s="17"/>
      <c r="G23" s="17"/>
      <c r="H23" s="17"/>
      <c r="I23" s="17"/>
      <c r="J23" s="17"/>
      <c r="K23" s="17"/>
      <c r="L23" s="17"/>
      <c r="M23" s="17"/>
      <c r="N23" s="17"/>
      <c r="O23" s="17"/>
      <c r="P23" s="17"/>
      <c r="Q23" s="17"/>
      <c r="R23" s="17"/>
    </row>
    <row r="24" spans="1:18" x14ac:dyDescent="0.3">
      <c r="A24" s="17"/>
      <c r="B24" s="17"/>
      <c r="C24" s="17"/>
      <c r="D24" s="17"/>
      <c r="E24" s="17"/>
      <c r="F24" s="17"/>
      <c r="G24" s="17"/>
      <c r="H24" s="17"/>
      <c r="I24" s="17"/>
      <c r="J24" s="17"/>
      <c r="K24" s="17"/>
      <c r="L24" s="17"/>
      <c r="M24" s="17"/>
      <c r="N24" s="17"/>
      <c r="O24" s="17"/>
      <c r="P24" s="17"/>
      <c r="Q24" s="17"/>
      <c r="R24" s="17"/>
    </row>
    <row r="25" spans="1:18" x14ac:dyDescent="0.3">
      <c r="A25" s="17"/>
      <c r="B25" s="17"/>
      <c r="C25" s="17"/>
      <c r="D25" s="17"/>
      <c r="E25" s="17"/>
      <c r="F25" s="17"/>
      <c r="G25" s="17"/>
      <c r="H25" s="17"/>
      <c r="I25" s="17"/>
      <c r="J25" s="17"/>
      <c r="K25" s="17"/>
      <c r="L25" s="17"/>
      <c r="M25" s="17"/>
      <c r="N25" s="17"/>
      <c r="O25" s="17"/>
      <c r="P25" s="17"/>
      <c r="Q25" s="17"/>
      <c r="R25" s="17"/>
    </row>
    <row r="26" spans="1:18" x14ac:dyDescent="0.3">
      <c r="A26" s="17"/>
      <c r="B26" s="17"/>
      <c r="C26" s="17"/>
      <c r="D26" s="17"/>
      <c r="E26" s="17"/>
      <c r="F26" s="17"/>
      <c r="G26" s="17"/>
      <c r="H26" s="17"/>
      <c r="I26" s="17"/>
      <c r="J26" s="17"/>
      <c r="K26" s="17"/>
      <c r="L26" s="17"/>
      <c r="M26" s="17"/>
      <c r="N26" s="17"/>
      <c r="O26" s="17"/>
      <c r="P26" s="17"/>
      <c r="Q26" s="17"/>
      <c r="R26" s="17"/>
    </row>
    <row r="27" spans="1:18" x14ac:dyDescent="0.3">
      <c r="A27" s="17"/>
      <c r="B27" s="17"/>
      <c r="C27" s="17"/>
      <c r="D27" s="17"/>
      <c r="E27" s="17"/>
      <c r="F27" s="17"/>
      <c r="G27" s="17"/>
      <c r="H27" s="17"/>
      <c r="I27" s="17"/>
      <c r="J27" s="17"/>
      <c r="K27" s="17"/>
      <c r="L27" s="17"/>
      <c r="M27" s="17"/>
      <c r="N27" s="17"/>
      <c r="O27" s="17"/>
      <c r="P27" s="17"/>
      <c r="Q27" s="17"/>
      <c r="R27" s="17"/>
    </row>
    <row r="28" spans="1:18" x14ac:dyDescent="0.3">
      <c r="A28" s="17"/>
      <c r="B28" s="17"/>
      <c r="C28" s="17"/>
      <c r="D28" s="17"/>
      <c r="E28" s="17"/>
      <c r="F28" s="17"/>
      <c r="G28" s="17"/>
      <c r="H28" s="17"/>
      <c r="I28" s="17"/>
      <c r="J28" s="17"/>
      <c r="K28" s="17"/>
      <c r="L28" s="17"/>
      <c r="M28" s="17"/>
      <c r="N28" s="17"/>
      <c r="O28" s="17"/>
      <c r="P28" s="17"/>
      <c r="Q28" s="17"/>
      <c r="R28" s="17"/>
    </row>
    <row r="29" spans="1:18" x14ac:dyDescent="0.3">
      <c r="A29" s="17"/>
      <c r="B29" s="17"/>
      <c r="C29" s="17"/>
      <c r="D29" s="17"/>
      <c r="E29" s="17"/>
      <c r="F29" s="17"/>
      <c r="G29" s="17"/>
      <c r="H29" s="17"/>
      <c r="I29" s="17"/>
      <c r="J29" s="17"/>
      <c r="K29" s="17"/>
      <c r="L29" s="17"/>
      <c r="M29" s="17"/>
      <c r="N29" s="17"/>
      <c r="O29" s="17"/>
      <c r="P29" s="17"/>
      <c r="Q29" s="17"/>
      <c r="R29" s="17"/>
    </row>
    <row r="30" spans="1:18" x14ac:dyDescent="0.3">
      <c r="A30" s="17"/>
      <c r="B30" s="17"/>
      <c r="C30" s="17"/>
      <c r="D30" s="17"/>
      <c r="E30" s="17"/>
      <c r="F30" s="17"/>
      <c r="G30" s="17"/>
      <c r="H30" s="17"/>
      <c r="I30" s="17"/>
      <c r="J30" s="17"/>
      <c r="K30" s="17"/>
      <c r="L30" s="17"/>
      <c r="M30" s="17"/>
      <c r="N30" s="17"/>
      <c r="O30" s="17"/>
      <c r="P30" s="17"/>
      <c r="Q30" s="17"/>
      <c r="R30" s="17"/>
    </row>
    <row r="31" spans="1:18" x14ac:dyDescent="0.3">
      <c r="A31" s="17"/>
      <c r="B31" s="17"/>
      <c r="C31" s="17"/>
      <c r="D31" s="17"/>
      <c r="E31" s="17"/>
      <c r="F31" s="17"/>
      <c r="G31" s="17"/>
      <c r="H31" s="17"/>
      <c r="I31" s="17"/>
      <c r="J31" s="17"/>
      <c r="K31" s="17"/>
      <c r="L31" s="17"/>
      <c r="M31" s="17"/>
      <c r="N31" s="17"/>
      <c r="O31" s="17"/>
      <c r="P31" s="17"/>
      <c r="Q31" s="17"/>
      <c r="R31" s="17"/>
    </row>
    <row r="32" spans="1:18" x14ac:dyDescent="0.3">
      <c r="A32" s="17"/>
      <c r="B32" s="17"/>
      <c r="C32" s="17"/>
      <c r="D32" s="17"/>
      <c r="E32" s="17"/>
      <c r="F32" s="17"/>
      <c r="G32" s="17"/>
      <c r="H32" s="17"/>
      <c r="I32" s="17"/>
      <c r="J32" s="17"/>
      <c r="K32" s="17"/>
      <c r="L32" s="17"/>
      <c r="M32" s="17"/>
      <c r="N32" s="17"/>
      <c r="O32" s="17"/>
      <c r="P32" s="17"/>
      <c r="Q32" s="17"/>
      <c r="R32" s="17"/>
    </row>
    <row r="33" spans="1:18" x14ac:dyDescent="0.3">
      <c r="A33" s="17"/>
      <c r="B33" s="17"/>
      <c r="C33" s="17"/>
      <c r="D33" s="17"/>
      <c r="E33" s="17"/>
      <c r="F33" s="17"/>
      <c r="G33" s="17"/>
      <c r="H33" s="17"/>
      <c r="I33" s="17"/>
      <c r="J33" s="17"/>
      <c r="K33" s="17"/>
      <c r="L33" s="17"/>
      <c r="M33" s="17"/>
      <c r="N33" s="17"/>
      <c r="O33" s="17"/>
      <c r="P33" s="17"/>
      <c r="Q33" s="17"/>
      <c r="R33" s="17"/>
    </row>
    <row r="34" spans="1:18" x14ac:dyDescent="0.3">
      <c r="A34" s="17"/>
      <c r="B34" s="17"/>
      <c r="C34" s="17"/>
      <c r="D34" s="17"/>
      <c r="E34" s="17"/>
      <c r="F34" s="17"/>
      <c r="G34" s="17"/>
      <c r="H34" s="17"/>
      <c r="I34" s="17"/>
      <c r="J34" s="17"/>
      <c r="K34" s="17"/>
      <c r="L34" s="17"/>
      <c r="M34" s="17"/>
      <c r="N34" s="17"/>
      <c r="O34" s="17"/>
      <c r="P34" s="17"/>
      <c r="Q34" s="17"/>
      <c r="R34" s="17"/>
    </row>
    <row r="35" spans="1:18" x14ac:dyDescent="0.3">
      <c r="A35" s="17"/>
      <c r="B35" s="17"/>
      <c r="C35" s="17"/>
      <c r="D35" s="17"/>
      <c r="E35" s="17"/>
      <c r="F35" s="17"/>
      <c r="G35" s="17"/>
      <c r="H35" s="17"/>
      <c r="I35" s="17"/>
      <c r="J35" s="17"/>
      <c r="K35" s="17"/>
      <c r="L35" s="17"/>
      <c r="M35" s="17"/>
      <c r="N35" s="17"/>
      <c r="O35" s="17"/>
      <c r="P35" s="17"/>
      <c r="Q35" s="17"/>
      <c r="R35" s="17"/>
    </row>
    <row r="36" spans="1:18" x14ac:dyDescent="0.3">
      <c r="A36" s="17"/>
      <c r="B36" s="17"/>
      <c r="C36" s="17"/>
      <c r="D36" s="17"/>
      <c r="E36" s="17"/>
      <c r="F36" s="17"/>
      <c r="G36" s="17"/>
      <c r="H36" s="17"/>
      <c r="I36" s="17"/>
      <c r="J36" s="17"/>
      <c r="K36" s="17"/>
      <c r="L36" s="17"/>
      <c r="M36" s="17"/>
      <c r="N36" s="17"/>
      <c r="O36" s="17"/>
      <c r="P36" s="17"/>
      <c r="Q36" s="17"/>
      <c r="R36" s="17"/>
    </row>
    <row r="37" spans="1:18" x14ac:dyDescent="0.3">
      <c r="A37" s="17"/>
      <c r="B37" s="17"/>
      <c r="C37" s="17"/>
      <c r="D37" s="17"/>
      <c r="E37" s="17"/>
      <c r="F37" s="17"/>
      <c r="G37" s="17"/>
      <c r="H37" s="17"/>
      <c r="I37" s="17"/>
      <c r="J37" s="17"/>
      <c r="K37" s="17"/>
      <c r="L37" s="17"/>
      <c r="M37" s="17"/>
      <c r="N37" s="17"/>
      <c r="O37" s="17"/>
      <c r="P37" s="17"/>
      <c r="Q37" s="17"/>
      <c r="R37" s="17"/>
    </row>
    <row r="38" spans="1:18" x14ac:dyDescent="0.3">
      <c r="A38" s="17"/>
      <c r="B38" s="17"/>
      <c r="C38" s="17"/>
      <c r="D38" s="17"/>
      <c r="E38" s="17"/>
      <c r="F38" s="17"/>
      <c r="G38" s="17"/>
      <c r="H38" s="17"/>
      <c r="I38" s="17"/>
      <c r="J38" s="17"/>
      <c r="K38" s="17"/>
      <c r="L38" s="17"/>
      <c r="M38" s="17"/>
      <c r="N38" s="17"/>
      <c r="O38" s="17"/>
      <c r="P38" s="17"/>
      <c r="Q38" s="17"/>
      <c r="R38" s="17"/>
    </row>
    <row r="39" spans="1:18" x14ac:dyDescent="0.3">
      <c r="A39" s="17"/>
      <c r="B39" s="17"/>
      <c r="C39" s="17"/>
      <c r="D39" s="17"/>
      <c r="E39" s="17"/>
      <c r="F39" s="17"/>
      <c r="G39" s="17"/>
      <c r="H39" s="17"/>
      <c r="I39" s="17"/>
      <c r="J39" s="17"/>
      <c r="K39" s="17"/>
      <c r="L39" s="17"/>
      <c r="M39" s="17"/>
      <c r="N39" s="17"/>
      <c r="O39" s="17"/>
      <c r="P39" s="17"/>
      <c r="Q39" s="17"/>
      <c r="R39" s="17"/>
    </row>
    <row r="40" spans="1:18" x14ac:dyDescent="0.3">
      <c r="A40" s="17"/>
      <c r="B40" s="17"/>
      <c r="C40" s="17"/>
      <c r="D40" s="17"/>
      <c r="E40" s="17"/>
      <c r="F40" s="17"/>
      <c r="G40" s="17"/>
      <c r="H40" s="17"/>
      <c r="I40" s="17"/>
      <c r="J40" s="17"/>
      <c r="K40" s="17"/>
      <c r="L40" s="17"/>
      <c r="M40" s="17"/>
      <c r="N40" s="17"/>
      <c r="O40" s="17"/>
      <c r="P40" s="17"/>
      <c r="Q40" s="17"/>
      <c r="R40" s="17"/>
    </row>
    <row r="41" spans="1:18" x14ac:dyDescent="0.3">
      <c r="A41" s="17"/>
      <c r="B41" s="17"/>
      <c r="C41" s="17"/>
      <c r="D41" s="17"/>
      <c r="E41" s="17"/>
      <c r="F41" s="17"/>
      <c r="G41" s="17"/>
      <c r="H41" s="17"/>
      <c r="I41" s="17"/>
      <c r="J41" s="17"/>
      <c r="K41" s="17"/>
      <c r="L41" s="17"/>
      <c r="M41" s="17"/>
      <c r="N41" s="17"/>
      <c r="O41" s="17"/>
      <c r="P41" s="17"/>
      <c r="Q41" s="17"/>
      <c r="R41" s="17"/>
    </row>
    <row r="42" spans="1:18" x14ac:dyDescent="0.3">
      <c r="A42" s="17"/>
      <c r="B42" s="17"/>
      <c r="C42" s="17"/>
      <c r="D42" s="17"/>
      <c r="E42" s="17"/>
      <c r="F42" s="17"/>
      <c r="G42" s="17"/>
      <c r="H42" s="17"/>
      <c r="I42" s="17"/>
      <c r="J42" s="17"/>
      <c r="K42" s="17"/>
      <c r="L42" s="17"/>
      <c r="M42" s="17"/>
      <c r="N42" s="17"/>
      <c r="O42" s="17"/>
      <c r="P42" s="17"/>
      <c r="Q42" s="17"/>
      <c r="R42"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FC3C-2C36-42FE-8127-A2005930FF77}">
  <dimension ref="A1:R57"/>
  <sheetViews>
    <sheetView showGridLines="0" zoomScale="47" zoomScaleNormal="34" workbookViewId="0">
      <selection activeCell="R39" sqref="R39"/>
    </sheetView>
  </sheetViews>
  <sheetFormatPr defaultRowHeight="14.4" x14ac:dyDescent="0.3"/>
  <cols>
    <col min="1" max="1" width="12.44140625" bestFit="1" customWidth="1"/>
    <col min="2" max="2" width="9.5546875" bestFit="1" customWidth="1"/>
    <col min="4" max="5" width="9.77734375" bestFit="1" customWidth="1"/>
  </cols>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ht="28.8" x14ac:dyDescent="0.55000000000000004">
      <c r="A9" s="10"/>
      <c r="B9" s="10"/>
      <c r="C9" s="10"/>
      <c r="D9" s="14"/>
      <c r="E9" s="16"/>
      <c r="F9" s="10"/>
      <c r="G9" s="10"/>
      <c r="H9" s="10"/>
      <c r="I9" s="10"/>
      <c r="J9" s="10"/>
      <c r="K9" s="10"/>
      <c r="L9" s="10"/>
      <c r="M9" s="14"/>
      <c r="N9" s="10"/>
      <c r="O9" s="10"/>
      <c r="P9" s="10"/>
      <c r="Q9" s="10"/>
      <c r="R9" s="10"/>
    </row>
    <row r="10" spans="1:18" ht="23.4" x14ac:dyDescent="0.45">
      <c r="A10" s="10"/>
      <c r="B10" s="10"/>
      <c r="C10" s="10"/>
      <c r="D10" s="15"/>
      <c r="E10" s="15"/>
      <c r="F10" s="10"/>
      <c r="G10" s="10"/>
      <c r="H10" s="10"/>
      <c r="I10" s="10"/>
      <c r="J10" s="10"/>
      <c r="K10" s="10"/>
      <c r="L10" s="10"/>
      <c r="M10" s="10"/>
      <c r="N10" s="15"/>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row r="28" spans="1:18" x14ac:dyDescent="0.3">
      <c r="A28" s="10"/>
      <c r="B28" s="10"/>
      <c r="C28" s="10"/>
      <c r="D28" s="10"/>
      <c r="E28" s="10"/>
      <c r="F28" s="10"/>
      <c r="G28" s="10"/>
      <c r="H28" s="10"/>
      <c r="I28" s="10"/>
      <c r="J28" s="10"/>
      <c r="K28" s="10"/>
      <c r="L28" s="10"/>
      <c r="M28" s="10"/>
      <c r="N28" s="10"/>
      <c r="O28" s="10"/>
      <c r="P28" s="10"/>
      <c r="Q28" s="10"/>
      <c r="R28" s="10"/>
    </row>
    <row r="29" spans="1:18" x14ac:dyDescent="0.3">
      <c r="A29" s="10"/>
      <c r="B29" s="10"/>
      <c r="C29" s="10"/>
      <c r="D29" s="10"/>
      <c r="E29" s="10"/>
      <c r="F29" s="10"/>
      <c r="G29" s="10"/>
      <c r="H29" s="10"/>
      <c r="I29" s="10"/>
      <c r="J29" s="10"/>
      <c r="K29" s="10"/>
      <c r="L29" s="10"/>
      <c r="M29" s="10"/>
      <c r="N29" s="10"/>
      <c r="O29" s="10"/>
      <c r="P29" s="10"/>
      <c r="Q29" s="10"/>
      <c r="R29" s="10"/>
    </row>
    <row r="30" spans="1:18" x14ac:dyDescent="0.3">
      <c r="A30" s="10"/>
      <c r="B30" s="10"/>
      <c r="C30" s="10"/>
      <c r="D30" s="10"/>
      <c r="E30" s="10"/>
      <c r="F30" s="10"/>
      <c r="G30" s="10"/>
      <c r="H30" s="10"/>
      <c r="I30" s="10"/>
      <c r="J30" s="10"/>
      <c r="K30" s="10"/>
      <c r="L30" s="10"/>
      <c r="M30" s="10"/>
      <c r="N30" s="10"/>
      <c r="O30" s="10"/>
      <c r="P30" s="10"/>
      <c r="Q30" s="10"/>
      <c r="R30" s="10"/>
    </row>
    <row r="31" spans="1:18" x14ac:dyDescent="0.3">
      <c r="A31" s="10"/>
      <c r="B31" s="10"/>
      <c r="C31" s="10"/>
      <c r="D31" s="10"/>
      <c r="E31" s="10"/>
      <c r="F31" s="10"/>
      <c r="G31" s="10"/>
      <c r="H31" s="10"/>
      <c r="I31" s="10"/>
      <c r="J31" s="10"/>
      <c r="K31" s="10"/>
      <c r="L31" s="10"/>
      <c r="M31" s="10"/>
      <c r="N31" s="10"/>
      <c r="O31" s="10"/>
      <c r="P31" s="10"/>
      <c r="Q31" s="10"/>
      <c r="R31" s="10"/>
    </row>
    <row r="32" spans="1:18" x14ac:dyDescent="0.3">
      <c r="A32" s="10"/>
      <c r="B32" s="10"/>
      <c r="C32" s="10"/>
      <c r="D32" s="10"/>
      <c r="E32" s="10"/>
      <c r="F32" s="10"/>
      <c r="G32" s="10"/>
      <c r="H32" s="10"/>
      <c r="I32" s="10"/>
      <c r="J32" s="10"/>
      <c r="K32" s="10"/>
      <c r="L32" s="10"/>
      <c r="M32" s="10"/>
      <c r="N32" s="10"/>
      <c r="O32" s="10"/>
      <c r="P32" s="10"/>
      <c r="Q32" s="10"/>
      <c r="R32" s="10"/>
    </row>
    <row r="33" spans="1:18" x14ac:dyDescent="0.3">
      <c r="A33" s="10"/>
      <c r="B33" s="10"/>
      <c r="C33" s="10"/>
      <c r="D33" s="10"/>
      <c r="E33" s="10"/>
      <c r="F33" s="10"/>
      <c r="G33" s="10"/>
      <c r="H33" s="10"/>
      <c r="I33" s="10"/>
      <c r="J33" s="10"/>
      <c r="K33" s="10"/>
      <c r="L33" s="10"/>
      <c r="M33" s="10"/>
      <c r="N33" s="10"/>
      <c r="O33" s="10"/>
      <c r="P33" s="10"/>
      <c r="Q33" s="10"/>
      <c r="R33" s="10"/>
    </row>
    <row r="34" spans="1:18" x14ac:dyDescent="0.3">
      <c r="A34" s="10"/>
      <c r="B34" s="10"/>
      <c r="C34" s="10"/>
      <c r="D34" s="10"/>
      <c r="E34" s="10"/>
      <c r="F34" s="10"/>
      <c r="G34" s="10"/>
      <c r="H34" s="10"/>
      <c r="I34" s="10"/>
      <c r="J34" s="10"/>
      <c r="K34" s="10"/>
      <c r="L34" s="10"/>
      <c r="M34" s="10"/>
      <c r="N34" s="10"/>
      <c r="O34" s="10"/>
      <c r="P34" s="10"/>
      <c r="Q34" s="10"/>
      <c r="R34" s="10"/>
    </row>
    <row r="35" spans="1:18" x14ac:dyDescent="0.3">
      <c r="A35" s="10"/>
      <c r="B35" s="10"/>
      <c r="C35" s="10"/>
      <c r="D35" s="10"/>
      <c r="E35" s="10"/>
      <c r="F35" s="10"/>
      <c r="G35" s="10"/>
      <c r="H35" s="10"/>
      <c r="I35" s="10"/>
      <c r="J35" s="10"/>
      <c r="K35" s="10"/>
      <c r="L35" s="10"/>
      <c r="M35" s="10"/>
      <c r="N35" s="10"/>
      <c r="O35" s="10"/>
      <c r="P35" s="10"/>
      <c r="Q35" s="10"/>
      <c r="R35" s="10"/>
    </row>
    <row r="36" spans="1:18" x14ac:dyDescent="0.3">
      <c r="A36" s="10"/>
      <c r="B36" s="10"/>
      <c r="C36" s="10"/>
      <c r="D36" s="10"/>
      <c r="E36" s="10"/>
      <c r="F36" s="10"/>
      <c r="G36" s="10"/>
      <c r="H36" s="10"/>
      <c r="I36" s="10"/>
      <c r="J36" s="10"/>
      <c r="K36" s="10"/>
      <c r="L36" s="10"/>
      <c r="M36" s="10"/>
      <c r="N36" s="10"/>
      <c r="O36" s="10"/>
      <c r="P36" s="10"/>
      <c r="Q36" s="10"/>
      <c r="R36" s="10"/>
    </row>
    <row r="37" spans="1:18" x14ac:dyDescent="0.3">
      <c r="A37" s="10"/>
      <c r="B37" s="10"/>
      <c r="C37" s="10"/>
      <c r="D37" s="10"/>
      <c r="E37" s="10"/>
      <c r="F37" s="10"/>
      <c r="G37" s="10"/>
      <c r="H37" s="10"/>
      <c r="I37" s="10"/>
      <c r="J37" s="10"/>
      <c r="K37" s="10"/>
      <c r="L37" s="10"/>
      <c r="M37" s="10"/>
      <c r="N37" s="10"/>
      <c r="O37" s="10"/>
      <c r="P37" s="10"/>
      <c r="Q37" s="10"/>
      <c r="R37" s="10"/>
    </row>
    <row r="38" spans="1:18" x14ac:dyDescent="0.3">
      <c r="A38" s="10"/>
      <c r="B38" s="10"/>
      <c r="C38" s="10"/>
      <c r="D38" s="10"/>
      <c r="E38" s="10"/>
      <c r="F38" s="10"/>
      <c r="G38" s="10"/>
      <c r="H38" s="10"/>
      <c r="I38" s="10"/>
      <c r="J38" s="10"/>
      <c r="K38" s="10"/>
      <c r="L38" s="10"/>
      <c r="M38" s="10"/>
      <c r="N38" s="10"/>
      <c r="O38" s="10"/>
      <c r="P38" s="10"/>
      <c r="Q38" s="10"/>
      <c r="R38" s="10"/>
    </row>
    <row r="39" spans="1:18" x14ac:dyDescent="0.3">
      <c r="A39" s="10"/>
      <c r="B39" s="10"/>
      <c r="C39" s="10"/>
      <c r="D39" s="10"/>
      <c r="E39" s="10"/>
      <c r="F39" s="10"/>
      <c r="G39" s="10"/>
      <c r="H39" s="10"/>
      <c r="I39" s="10"/>
      <c r="J39" s="10"/>
      <c r="K39" s="10"/>
      <c r="L39" s="10"/>
      <c r="M39" s="10"/>
      <c r="N39" s="10"/>
      <c r="O39" s="10"/>
      <c r="P39" s="10"/>
      <c r="Q39" s="10"/>
      <c r="R39" s="10"/>
    </row>
    <row r="40" spans="1:18" x14ac:dyDescent="0.3">
      <c r="A40" s="10"/>
      <c r="B40" s="10"/>
      <c r="C40" s="10"/>
      <c r="D40" s="10"/>
      <c r="E40" s="10"/>
      <c r="F40" s="10"/>
      <c r="G40" s="10"/>
      <c r="H40" s="10"/>
      <c r="I40" s="10"/>
      <c r="J40" s="10"/>
      <c r="K40" s="10"/>
      <c r="L40" s="10"/>
      <c r="M40" s="10"/>
      <c r="N40" s="10"/>
      <c r="O40" s="10"/>
      <c r="P40" s="10"/>
      <c r="Q40" s="10"/>
      <c r="R40" s="10"/>
    </row>
    <row r="41" spans="1:18" x14ac:dyDescent="0.3">
      <c r="A41" s="10"/>
      <c r="B41" s="10"/>
      <c r="C41" s="10"/>
      <c r="D41" s="10"/>
      <c r="E41" s="10"/>
      <c r="F41" s="10"/>
      <c r="G41" s="10"/>
      <c r="H41" s="10"/>
      <c r="I41" s="10"/>
      <c r="J41" s="10"/>
      <c r="K41" s="10"/>
      <c r="L41" s="10"/>
      <c r="M41" s="10"/>
      <c r="N41" s="10"/>
      <c r="O41" s="10"/>
      <c r="P41" s="10"/>
      <c r="Q41" s="10"/>
      <c r="R41" s="10"/>
    </row>
    <row r="42" spans="1:18" x14ac:dyDescent="0.3">
      <c r="A42" s="10"/>
      <c r="B42" s="10"/>
      <c r="C42" s="10"/>
      <c r="D42" s="10"/>
      <c r="E42" s="10"/>
      <c r="F42" s="10"/>
      <c r="G42" s="10"/>
      <c r="H42" s="10"/>
      <c r="I42" s="10"/>
      <c r="J42" s="10"/>
      <c r="K42" s="10"/>
      <c r="L42" s="10"/>
      <c r="M42" s="10"/>
      <c r="N42" s="10"/>
      <c r="O42" s="10"/>
      <c r="P42" s="10"/>
      <c r="Q42" s="10"/>
      <c r="R42" s="10"/>
    </row>
    <row r="43" spans="1:18" x14ac:dyDescent="0.3">
      <c r="A43" s="10"/>
      <c r="B43" s="10"/>
      <c r="C43" s="10"/>
      <c r="D43" s="10"/>
      <c r="E43" s="10"/>
      <c r="F43" s="10"/>
      <c r="G43" s="10"/>
      <c r="H43" s="10"/>
      <c r="I43" s="10"/>
      <c r="J43" s="10"/>
      <c r="K43" s="10"/>
      <c r="L43" s="10"/>
      <c r="M43" s="10"/>
      <c r="N43" s="10"/>
      <c r="O43" s="10"/>
      <c r="P43" s="10"/>
      <c r="Q43" s="10"/>
      <c r="R43" s="10"/>
    </row>
    <row r="44" spans="1:18" x14ac:dyDescent="0.3">
      <c r="A44" s="10"/>
      <c r="B44" s="10"/>
      <c r="C44" s="10"/>
      <c r="D44" s="10"/>
      <c r="E44" s="10"/>
      <c r="F44" s="10"/>
      <c r="G44" s="10"/>
      <c r="H44" s="10"/>
      <c r="I44" s="10"/>
      <c r="J44" s="10"/>
      <c r="K44" s="10"/>
      <c r="L44" s="10"/>
      <c r="M44" s="10"/>
      <c r="N44" s="10"/>
      <c r="O44" s="10"/>
      <c r="P44" s="10"/>
      <c r="Q44" s="10"/>
      <c r="R44" s="10"/>
    </row>
    <row r="45" spans="1:18" x14ac:dyDescent="0.3">
      <c r="A45" s="10"/>
      <c r="B45" s="10"/>
      <c r="C45" s="10"/>
      <c r="D45" s="10"/>
      <c r="E45" s="10"/>
      <c r="F45" s="10"/>
      <c r="G45" s="10"/>
      <c r="H45" s="10"/>
      <c r="I45" s="10"/>
      <c r="J45" s="10"/>
      <c r="K45" s="10"/>
      <c r="L45" s="10"/>
      <c r="M45" s="10"/>
      <c r="N45" s="10"/>
      <c r="O45" s="10"/>
      <c r="P45" s="10"/>
      <c r="Q45" s="10"/>
      <c r="R45" s="10"/>
    </row>
    <row r="46" spans="1:18" x14ac:dyDescent="0.3">
      <c r="A46" s="10"/>
      <c r="B46" s="10"/>
      <c r="C46" s="10"/>
      <c r="D46" s="10"/>
      <c r="E46" s="10"/>
      <c r="F46" s="10"/>
      <c r="G46" s="10"/>
      <c r="H46" s="10"/>
      <c r="I46" s="10"/>
      <c r="J46" s="10"/>
      <c r="K46" s="10"/>
      <c r="L46" s="10"/>
      <c r="M46" s="10"/>
      <c r="N46" s="10"/>
      <c r="O46" s="10"/>
      <c r="P46" s="10"/>
      <c r="Q46" s="10"/>
      <c r="R46" s="10"/>
    </row>
    <row r="47" spans="1:18" x14ac:dyDescent="0.3">
      <c r="A47" s="10"/>
      <c r="B47" s="10"/>
      <c r="C47" s="10"/>
      <c r="D47" s="10"/>
      <c r="E47" s="10"/>
      <c r="F47" s="10"/>
      <c r="G47" s="10"/>
      <c r="H47" s="10"/>
      <c r="I47" s="10"/>
      <c r="J47" s="10"/>
      <c r="K47" s="10"/>
      <c r="L47" s="10"/>
      <c r="M47" s="10"/>
      <c r="N47" s="10"/>
      <c r="O47" s="10"/>
      <c r="P47" s="10"/>
      <c r="Q47" s="10"/>
      <c r="R47" s="10"/>
    </row>
    <row r="48" spans="1:18" x14ac:dyDescent="0.3">
      <c r="A48" s="10"/>
      <c r="B48" s="10"/>
      <c r="C48" s="10"/>
      <c r="D48" s="10"/>
      <c r="E48" s="10"/>
      <c r="F48" s="10"/>
      <c r="G48" s="10"/>
      <c r="H48" s="10"/>
      <c r="I48" s="10"/>
      <c r="J48" s="10"/>
      <c r="K48" s="10"/>
      <c r="L48" s="10"/>
      <c r="M48" s="10"/>
      <c r="N48" s="10"/>
      <c r="O48" s="10"/>
      <c r="P48" s="10"/>
      <c r="Q48" s="10"/>
      <c r="R48" s="10"/>
    </row>
    <row r="49" spans="1:18" x14ac:dyDescent="0.3">
      <c r="A49" s="10"/>
      <c r="B49" s="10"/>
      <c r="C49" s="10"/>
      <c r="D49" s="10"/>
      <c r="E49" s="10"/>
      <c r="F49" s="10"/>
      <c r="G49" s="10"/>
      <c r="H49" s="10"/>
      <c r="I49" s="10"/>
      <c r="J49" s="10"/>
      <c r="K49" s="10"/>
      <c r="L49" s="10"/>
      <c r="M49" s="10"/>
      <c r="N49" s="10"/>
      <c r="O49" s="10"/>
      <c r="P49" s="10"/>
      <c r="Q49" s="10"/>
      <c r="R49" s="10"/>
    </row>
    <row r="50" spans="1:18" x14ac:dyDescent="0.3">
      <c r="A50" s="10"/>
      <c r="B50" s="10"/>
      <c r="C50" s="10"/>
      <c r="D50" s="10"/>
      <c r="E50" s="10"/>
      <c r="F50" s="10"/>
      <c r="G50" s="10"/>
      <c r="H50" s="10"/>
      <c r="I50" s="10"/>
      <c r="J50" s="10"/>
      <c r="K50" s="10"/>
      <c r="L50" s="10"/>
      <c r="M50" s="10"/>
      <c r="N50" s="10"/>
      <c r="O50" s="10"/>
      <c r="P50" s="10"/>
      <c r="Q50" s="10"/>
      <c r="R50" s="10"/>
    </row>
    <row r="51" spans="1:18" x14ac:dyDescent="0.3">
      <c r="A51" s="10"/>
      <c r="B51" s="10"/>
      <c r="C51" s="10"/>
      <c r="D51" s="10"/>
      <c r="E51" s="10"/>
      <c r="F51" s="10"/>
      <c r="G51" s="10"/>
      <c r="H51" s="10"/>
      <c r="I51" s="10"/>
      <c r="J51" s="10"/>
      <c r="K51" s="10"/>
      <c r="L51" s="10"/>
      <c r="M51" s="10"/>
      <c r="N51" s="10"/>
      <c r="O51" s="10"/>
      <c r="P51" s="10"/>
      <c r="Q51" s="10"/>
      <c r="R51" s="10"/>
    </row>
    <row r="52" spans="1:18" x14ac:dyDescent="0.3">
      <c r="A52" s="10"/>
      <c r="B52" s="10"/>
      <c r="C52" s="10"/>
      <c r="D52" s="10"/>
      <c r="E52" s="10"/>
      <c r="F52" s="10"/>
      <c r="G52" s="10"/>
      <c r="H52" s="10"/>
      <c r="I52" s="10"/>
      <c r="J52" s="10"/>
      <c r="K52" s="10"/>
      <c r="L52" s="10"/>
      <c r="M52" s="10"/>
      <c r="N52" s="10"/>
      <c r="O52" s="10"/>
      <c r="P52" s="10"/>
      <c r="Q52" s="10"/>
      <c r="R52" s="10"/>
    </row>
    <row r="53" spans="1:18" x14ac:dyDescent="0.3">
      <c r="A53" s="10"/>
      <c r="B53" s="10"/>
      <c r="C53" s="10"/>
      <c r="D53" s="10"/>
      <c r="E53" s="10"/>
      <c r="F53" s="10"/>
      <c r="G53" s="10"/>
      <c r="H53" s="10"/>
      <c r="I53" s="10"/>
      <c r="J53" s="10"/>
      <c r="K53" s="10"/>
      <c r="L53" s="10"/>
      <c r="M53" s="10"/>
      <c r="N53" s="10"/>
      <c r="O53" s="10"/>
      <c r="P53" s="10"/>
      <c r="Q53" s="10"/>
      <c r="R53" s="10"/>
    </row>
    <row r="54" spans="1:18" x14ac:dyDescent="0.3">
      <c r="A54" s="10"/>
      <c r="B54" s="10"/>
      <c r="C54" s="10"/>
      <c r="D54" s="10"/>
      <c r="E54" s="10"/>
      <c r="F54" s="10"/>
      <c r="G54" s="10"/>
      <c r="H54" s="10"/>
      <c r="I54" s="10"/>
      <c r="J54" s="10"/>
      <c r="K54" s="10"/>
      <c r="L54" s="10"/>
      <c r="M54" s="10"/>
      <c r="N54" s="10"/>
      <c r="O54" s="10"/>
      <c r="P54" s="10"/>
      <c r="Q54" s="10"/>
      <c r="R54" s="10"/>
    </row>
    <row r="55" spans="1:18" x14ac:dyDescent="0.3">
      <c r="A55" s="10"/>
      <c r="B55" s="10"/>
      <c r="C55" s="10"/>
      <c r="D55" s="10"/>
      <c r="E55" s="10"/>
      <c r="F55" s="10"/>
      <c r="G55" s="10"/>
      <c r="H55" s="10"/>
      <c r="I55" s="10"/>
      <c r="J55" s="10"/>
      <c r="K55" s="10"/>
      <c r="L55" s="10"/>
      <c r="M55" s="10"/>
      <c r="N55" s="10"/>
      <c r="O55" s="10"/>
      <c r="P55" s="10"/>
      <c r="Q55" s="10"/>
      <c r="R55" s="10"/>
    </row>
    <row r="56" spans="1:18" x14ac:dyDescent="0.3">
      <c r="A56" s="10"/>
      <c r="B56" s="10"/>
      <c r="C56" s="10"/>
      <c r="D56" s="10"/>
      <c r="E56" s="10"/>
      <c r="F56" s="10"/>
      <c r="G56" s="10"/>
      <c r="H56" s="10"/>
      <c r="I56" s="10"/>
      <c r="J56" s="10"/>
      <c r="K56" s="10"/>
      <c r="L56" s="10"/>
      <c r="M56" s="10"/>
      <c r="N56" s="10"/>
      <c r="O56" s="10"/>
      <c r="P56" s="10"/>
      <c r="Q56" s="10"/>
      <c r="R56" s="10"/>
    </row>
    <row r="57" spans="1:18" x14ac:dyDescent="0.3">
      <c r="A57" s="10"/>
      <c r="B57" s="10"/>
      <c r="C57" s="10"/>
      <c r="D57" s="10"/>
      <c r="E57" s="10"/>
      <c r="F57" s="10"/>
      <c r="G57" s="10"/>
      <c r="H57" s="10"/>
      <c r="I57" s="10"/>
      <c r="J57" s="10"/>
      <c r="K57" s="10"/>
      <c r="L57" s="10"/>
      <c r="M57" s="10"/>
      <c r="N57" s="10"/>
      <c r="O57" s="10"/>
      <c r="P57" s="10"/>
      <c r="Q57" s="10"/>
      <c r="R57"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1403-47AC-4BD4-8D36-3EFDE4D28B2F}">
  <dimension ref="A1:R43"/>
  <sheetViews>
    <sheetView showGridLines="0" zoomScale="51"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row r="30" spans="1:18" x14ac:dyDescent="0.3">
      <c r="A30" s="11"/>
      <c r="B30" s="11"/>
      <c r="C30" s="11"/>
      <c r="D30" s="11"/>
      <c r="E30" s="11"/>
      <c r="F30" s="11"/>
      <c r="G30" s="11"/>
      <c r="H30" s="11"/>
      <c r="I30" s="11"/>
      <c r="J30" s="11"/>
      <c r="K30" s="11"/>
      <c r="L30" s="11"/>
      <c r="M30" s="11"/>
      <c r="N30" s="11"/>
      <c r="O30" s="11"/>
      <c r="P30" s="11"/>
      <c r="Q30" s="11"/>
      <c r="R30" s="11"/>
    </row>
    <row r="31" spans="1:18" x14ac:dyDescent="0.3">
      <c r="A31" s="11"/>
      <c r="B31" s="11"/>
      <c r="C31" s="11"/>
      <c r="D31" s="11"/>
      <c r="E31" s="11"/>
      <c r="F31" s="11"/>
      <c r="G31" s="11"/>
      <c r="H31" s="11"/>
      <c r="I31" s="11"/>
      <c r="J31" s="11"/>
      <c r="K31" s="11"/>
      <c r="L31" s="11"/>
      <c r="M31" s="11"/>
      <c r="N31" s="11"/>
      <c r="O31" s="11"/>
      <c r="P31" s="11"/>
      <c r="Q31" s="11"/>
      <c r="R31" s="11"/>
    </row>
    <row r="32" spans="1:18" x14ac:dyDescent="0.3">
      <c r="A32" s="11"/>
      <c r="B32" s="11"/>
      <c r="C32" s="11"/>
      <c r="D32" s="11"/>
      <c r="E32" s="11"/>
      <c r="F32" s="11"/>
      <c r="G32" s="11"/>
      <c r="H32" s="11"/>
      <c r="I32" s="11"/>
      <c r="J32" s="11"/>
      <c r="K32" s="11"/>
      <c r="L32" s="11"/>
      <c r="M32" s="11"/>
      <c r="N32" s="11"/>
      <c r="O32" s="11"/>
      <c r="P32" s="11"/>
      <c r="Q32" s="11"/>
      <c r="R32" s="11"/>
    </row>
    <row r="33" spans="1:18" x14ac:dyDescent="0.3">
      <c r="A33" s="11"/>
      <c r="B33" s="11"/>
      <c r="C33" s="11"/>
      <c r="D33" s="11"/>
      <c r="E33" s="11"/>
      <c r="F33" s="11"/>
      <c r="G33" s="11"/>
      <c r="H33" s="11"/>
      <c r="I33" s="11"/>
      <c r="J33" s="11"/>
      <c r="K33" s="11"/>
      <c r="L33" s="11"/>
      <c r="M33" s="11"/>
      <c r="N33" s="11"/>
      <c r="O33" s="11"/>
      <c r="P33" s="11"/>
      <c r="Q33" s="11"/>
      <c r="R33" s="11"/>
    </row>
    <row r="34" spans="1:18" x14ac:dyDescent="0.3">
      <c r="A34" s="11"/>
      <c r="B34" s="11"/>
      <c r="C34" s="11"/>
      <c r="D34" s="11"/>
      <c r="E34" s="11"/>
      <c r="F34" s="11"/>
      <c r="G34" s="11"/>
      <c r="H34" s="11"/>
      <c r="I34" s="11"/>
      <c r="J34" s="11"/>
      <c r="K34" s="11"/>
      <c r="L34" s="11"/>
      <c r="M34" s="11"/>
      <c r="N34" s="11"/>
      <c r="O34" s="11"/>
      <c r="P34" s="11"/>
      <c r="Q34" s="11"/>
      <c r="R34" s="11"/>
    </row>
    <row r="35" spans="1:18" x14ac:dyDescent="0.3">
      <c r="A35" s="11"/>
      <c r="B35" s="11"/>
      <c r="C35" s="11"/>
      <c r="D35" s="11"/>
      <c r="E35" s="11"/>
      <c r="F35" s="11"/>
      <c r="G35" s="11"/>
      <c r="H35" s="11"/>
      <c r="I35" s="11"/>
      <c r="J35" s="11"/>
      <c r="K35" s="11"/>
      <c r="L35" s="11"/>
      <c r="M35" s="11"/>
      <c r="N35" s="11"/>
      <c r="O35" s="11"/>
      <c r="P35" s="11"/>
      <c r="Q35" s="11"/>
      <c r="R35" s="11"/>
    </row>
    <row r="36" spans="1:18" x14ac:dyDescent="0.3">
      <c r="A36" s="11"/>
      <c r="B36" s="11"/>
      <c r="C36" s="11"/>
      <c r="D36" s="11"/>
      <c r="E36" s="11"/>
      <c r="F36" s="11"/>
      <c r="G36" s="11"/>
      <c r="H36" s="11"/>
      <c r="I36" s="11"/>
      <c r="J36" s="11"/>
      <c r="K36" s="11"/>
      <c r="L36" s="11"/>
      <c r="M36" s="11"/>
      <c r="N36" s="11"/>
      <c r="O36" s="11"/>
      <c r="P36" s="11"/>
      <c r="Q36" s="11"/>
      <c r="R36" s="11"/>
    </row>
    <row r="37" spans="1:18" x14ac:dyDescent="0.3">
      <c r="A37" s="11"/>
      <c r="B37" s="11"/>
      <c r="C37" s="11"/>
      <c r="D37" s="11"/>
      <c r="E37" s="11"/>
      <c r="F37" s="11"/>
      <c r="G37" s="11"/>
      <c r="H37" s="11"/>
      <c r="I37" s="11"/>
      <c r="J37" s="11"/>
      <c r="K37" s="11"/>
      <c r="L37" s="11"/>
      <c r="M37" s="11"/>
      <c r="N37" s="11"/>
      <c r="O37" s="11"/>
      <c r="P37" s="11"/>
      <c r="Q37" s="11"/>
      <c r="R37" s="11"/>
    </row>
    <row r="38" spans="1:18" x14ac:dyDescent="0.3">
      <c r="A38" s="11"/>
      <c r="B38" s="11"/>
      <c r="C38" s="11"/>
      <c r="D38" s="11"/>
      <c r="E38" s="11"/>
      <c r="F38" s="11"/>
      <c r="G38" s="11"/>
      <c r="H38" s="11"/>
      <c r="I38" s="11"/>
      <c r="J38" s="11"/>
      <c r="K38" s="11"/>
      <c r="L38" s="11"/>
      <c r="M38" s="11"/>
      <c r="N38" s="11"/>
      <c r="O38" s="11"/>
      <c r="P38" s="11"/>
      <c r="Q38" s="11"/>
      <c r="R38" s="11"/>
    </row>
    <row r="39" spans="1:18" x14ac:dyDescent="0.3">
      <c r="A39" s="11"/>
      <c r="B39" s="11"/>
      <c r="C39" s="11"/>
      <c r="D39" s="11"/>
      <c r="E39" s="11"/>
      <c r="F39" s="11"/>
      <c r="G39" s="11"/>
      <c r="H39" s="11"/>
      <c r="I39" s="11"/>
      <c r="J39" s="11"/>
      <c r="K39" s="11"/>
      <c r="L39" s="11"/>
      <c r="M39" s="11"/>
      <c r="N39" s="11"/>
      <c r="O39" s="11"/>
      <c r="P39" s="11"/>
      <c r="Q39" s="11"/>
      <c r="R39" s="11"/>
    </row>
    <row r="40" spans="1:18" x14ac:dyDescent="0.3">
      <c r="A40" s="11"/>
      <c r="B40" s="11"/>
      <c r="C40" s="11"/>
      <c r="D40" s="11"/>
      <c r="E40" s="11"/>
      <c r="F40" s="11"/>
      <c r="G40" s="11"/>
      <c r="H40" s="11"/>
      <c r="I40" s="11"/>
      <c r="J40" s="11"/>
      <c r="K40" s="11"/>
      <c r="L40" s="11"/>
      <c r="M40" s="11"/>
      <c r="N40" s="11"/>
      <c r="O40" s="11"/>
      <c r="P40" s="11"/>
      <c r="Q40" s="11"/>
      <c r="R40" s="11"/>
    </row>
    <row r="41" spans="1:18" x14ac:dyDescent="0.3">
      <c r="A41" s="11"/>
      <c r="B41" s="11"/>
      <c r="C41" s="11"/>
      <c r="D41" s="11"/>
      <c r="E41" s="11"/>
      <c r="F41" s="11"/>
      <c r="G41" s="11"/>
      <c r="H41" s="11"/>
      <c r="I41" s="11"/>
      <c r="J41" s="11"/>
      <c r="K41" s="11"/>
      <c r="L41" s="11"/>
      <c r="M41" s="11"/>
      <c r="N41" s="11"/>
      <c r="O41" s="11"/>
      <c r="P41" s="11"/>
      <c r="Q41" s="11"/>
      <c r="R41" s="11"/>
    </row>
    <row r="42" spans="1:18" x14ac:dyDescent="0.3">
      <c r="A42" s="11"/>
      <c r="B42" s="11"/>
      <c r="C42" s="11"/>
      <c r="D42" s="11"/>
      <c r="E42" s="11"/>
      <c r="F42" s="11"/>
      <c r="G42" s="11"/>
      <c r="H42" s="11"/>
      <c r="I42" s="11"/>
      <c r="J42" s="11"/>
      <c r="K42" s="11"/>
      <c r="L42" s="11"/>
      <c r="M42" s="11"/>
      <c r="N42" s="11"/>
      <c r="O42" s="11"/>
      <c r="P42" s="11"/>
      <c r="Q42" s="11"/>
      <c r="R42" s="11"/>
    </row>
    <row r="43" spans="1:18" x14ac:dyDescent="0.3">
      <c r="A43" s="11"/>
      <c r="B43" s="11"/>
      <c r="C43" s="11"/>
      <c r="D43" s="11"/>
      <c r="E43" s="11"/>
      <c r="F43" s="11"/>
      <c r="G43" s="11"/>
      <c r="H43" s="11"/>
      <c r="I43" s="11"/>
      <c r="J43" s="11"/>
      <c r="K43" s="11"/>
      <c r="L43" s="11"/>
      <c r="M43" s="11"/>
      <c r="N43" s="11"/>
      <c r="O43" s="11"/>
      <c r="P43" s="11"/>
      <c r="Q43" s="11"/>
      <c r="R43"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9759-97D3-4089-A371-AE9DFABD81C2}">
  <dimension ref="A1:R43"/>
  <sheetViews>
    <sheetView zoomScale="45" workbookViewId="0"/>
  </sheetViews>
  <sheetFormatPr defaultRowHeight="14.4" x14ac:dyDescent="0.3"/>
  <sheetData>
    <row r="1" spans="1:18" x14ac:dyDescent="0.3">
      <c r="A1" s="12"/>
      <c r="B1" s="12"/>
      <c r="C1" s="12"/>
      <c r="D1" s="12"/>
      <c r="E1" s="12"/>
      <c r="F1" s="12"/>
      <c r="G1" s="12"/>
      <c r="H1" s="12"/>
      <c r="I1" s="12"/>
      <c r="J1" s="12"/>
      <c r="K1" s="12"/>
      <c r="L1" s="12"/>
      <c r="M1" s="12"/>
      <c r="N1" s="12"/>
      <c r="O1" s="12"/>
      <c r="P1" s="12"/>
      <c r="Q1" s="12"/>
      <c r="R1" s="12"/>
    </row>
    <row r="2" spans="1:18" x14ac:dyDescent="0.3">
      <c r="A2" s="12"/>
      <c r="B2" s="12"/>
      <c r="C2" s="12"/>
      <c r="D2" s="12"/>
      <c r="E2" s="12"/>
      <c r="F2" s="12"/>
      <c r="G2" s="12"/>
      <c r="H2" s="12"/>
      <c r="I2" s="12"/>
      <c r="J2" s="12"/>
      <c r="K2" s="12"/>
      <c r="L2" s="12"/>
      <c r="M2" s="12"/>
      <c r="N2" s="12"/>
      <c r="O2" s="12"/>
      <c r="P2" s="12"/>
      <c r="Q2" s="12"/>
      <c r="R2" s="12"/>
    </row>
    <row r="3" spans="1:18" x14ac:dyDescent="0.3">
      <c r="A3" s="12"/>
      <c r="B3" s="12"/>
      <c r="C3" s="12"/>
      <c r="D3" s="12"/>
      <c r="E3" s="12"/>
      <c r="F3" s="12"/>
      <c r="G3" s="12"/>
      <c r="H3" s="12"/>
      <c r="I3" s="12"/>
      <c r="J3" s="12"/>
      <c r="K3" s="12"/>
      <c r="L3" s="12"/>
      <c r="M3" s="12"/>
      <c r="N3" s="12"/>
      <c r="O3" s="12"/>
      <c r="P3" s="12"/>
      <c r="Q3" s="12"/>
      <c r="R3" s="12"/>
    </row>
    <row r="4" spans="1:18" x14ac:dyDescent="0.3">
      <c r="A4" s="12"/>
      <c r="B4" s="12"/>
      <c r="C4" s="12"/>
      <c r="D4" s="12"/>
      <c r="E4" s="12"/>
      <c r="F4" s="12"/>
      <c r="G4" s="12"/>
      <c r="H4" s="12"/>
      <c r="I4" s="12"/>
      <c r="J4" s="12"/>
      <c r="K4" s="12"/>
      <c r="L4" s="12"/>
      <c r="M4" s="12"/>
      <c r="N4" s="12"/>
      <c r="O4" s="12"/>
      <c r="P4" s="12"/>
      <c r="Q4" s="12"/>
      <c r="R4" s="12"/>
    </row>
    <row r="5" spans="1:18" x14ac:dyDescent="0.3">
      <c r="A5" s="12"/>
      <c r="B5" s="12"/>
      <c r="C5" s="12"/>
      <c r="D5" s="12"/>
      <c r="E5" s="12"/>
      <c r="F5" s="12"/>
      <c r="G5" s="12"/>
      <c r="H5" s="12"/>
      <c r="I5" s="12"/>
      <c r="J5" s="12"/>
      <c r="K5" s="12"/>
      <c r="L5" s="12"/>
      <c r="M5" s="12"/>
      <c r="N5" s="12"/>
      <c r="O5" s="12"/>
      <c r="P5" s="12"/>
      <c r="Q5" s="12"/>
      <c r="R5" s="12"/>
    </row>
    <row r="6" spans="1:18" x14ac:dyDescent="0.3">
      <c r="A6" s="12"/>
      <c r="B6" s="12"/>
      <c r="C6" s="12"/>
      <c r="D6" s="12"/>
      <c r="E6" s="12"/>
      <c r="F6" s="12"/>
      <c r="G6" s="12"/>
      <c r="H6" s="12"/>
      <c r="I6" s="12"/>
      <c r="J6" s="12"/>
      <c r="K6" s="12"/>
      <c r="L6" s="12"/>
      <c r="M6" s="12"/>
      <c r="N6" s="12"/>
      <c r="O6" s="12"/>
      <c r="P6" s="12"/>
      <c r="Q6" s="12"/>
      <c r="R6" s="12"/>
    </row>
    <row r="7" spans="1:18" x14ac:dyDescent="0.3">
      <c r="A7" s="12"/>
      <c r="B7" s="12"/>
      <c r="C7" s="12"/>
      <c r="D7" s="12"/>
      <c r="E7" s="12"/>
      <c r="F7" s="12"/>
      <c r="G7" s="12"/>
      <c r="H7" s="12"/>
      <c r="I7" s="12"/>
      <c r="J7" s="12"/>
      <c r="K7" s="12"/>
      <c r="L7" s="12"/>
      <c r="M7" s="12"/>
      <c r="N7" s="12"/>
      <c r="O7" s="12"/>
      <c r="P7" s="12"/>
      <c r="Q7" s="12"/>
      <c r="R7" s="12"/>
    </row>
    <row r="8" spans="1:18" x14ac:dyDescent="0.3">
      <c r="A8" s="12"/>
      <c r="B8" s="12"/>
      <c r="C8" s="12"/>
      <c r="D8" s="12"/>
      <c r="E8" s="12"/>
      <c r="F8" s="12"/>
      <c r="G8" s="12"/>
      <c r="H8" s="12"/>
      <c r="I8" s="12"/>
      <c r="J8" s="12"/>
      <c r="K8" s="12"/>
      <c r="L8" s="12"/>
      <c r="M8" s="12"/>
      <c r="N8" s="12"/>
      <c r="O8" s="12"/>
      <c r="P8" s="12"/>
      <c r="Q8" s="12"/>
      <c r="R8" s="12"/>
    </row>
    <row r="9" spans="1:18" x14ac:dyDescent="0.3">
      <c r="A9" s="12"/>
      <c r="B9" s="12"/>
      <c r="C9" s="12"/>
      <c r="D9" s="12"/>
      <c r="E9" s="12"/>
      <c r="F9" s="12"/>
      <c r="G9" s="12"/>
      <c r="H9" s="12"/>
      <c r="I9" s="12"/>
      <c r="J9" s="12"/>
      <c r="K9" s="12"/>
      <c r="L9" s="12"/>
      <c r="M9" s="12"/>
      <c r="N9" s="12"/>
      <c r="O9" s="12"/>
      <c r="P9" s="12"/>
      <c r="Q9" s="12"/>
      <c r="R9" s="12"/>
    </row>
    <row r="10" spans="1:18" x14ac:dyDescent="0.3">
      <c r="A10" s="12"/>
      <c r="B10" s="12"/>
      <c r="C10" s="12"/>
      <c r="D10" s="12"/>
      <c r="E10" s="12"/>
      <c r="F10" s="12"/>
      <c r="G10" s="12"/>
      <c r="H10" s="12"/>
      <c r="I10" s="12"/>
      <c r="J10" s="12"/>
      <c r="K10" s="12"/>
      <c r="L10" s="12"/>
      <c r="M10" s="12"/>
      <c r="N10" s="12"/>
      <c r="O10" s="12"/>
      <c r="P10" s="12"/>
      <c r="Q10" s="12"/>
      <c r="R10" s="12"/>
    </row>
    <row r="11" spans="1:18" x14ac:dyDescent="0.3">
      <c r="A11" s="12"/>
      <c r="B11" s="12"/>
      <c r="C11" s="12"/>
      <c r="D11" s="12"/>
      <c r="E11" s="12"/>
      <c r="F11" s="12"/>
      <c r="G11" s="12"/>
      <c r="H11" s="12"/>
      <c r="I11" s="12"/>
      <c r="J11" s="12"/>
      <c r="K11" s="12"/>
      <c r="L11" s="12"/>
      <c r="M11" s="12"/>
      <c r="N11" s="12"/>
      <c r="O11" s="12"/>
      <c r="P11" s="12"/>
      <c r="Q11" s="12"/>
      <c r="R11" s="12"/>
    </row>
    <row r="12" spans="1:18" x14ac:dyDescent="0.3">
      <c r="A12" s="12"/>
      <c r="B12" s="12"/>
      <c r="C12" s="12"/>
      <c r="D12" s="12"/>
      <c r="E12" s="12"/>
      <c r="F12" s="12"/>
      <c r="G12" s="12"/>
      <c r="H12" s="12"/>
      <c r="I12" s="12"/>
      <c r="J12" s="12"/>
      <c r="K12" s="12"/>
      <c r="L12" s="12"/>
      <c r="M12" s="12"/>
      <c r="N12" s="12"/>
      <c r="O12" s="12"/>
      <c r="P12" s="12"/>
      <c r="Q12" s="12"/>
      <c r="R12" s="12"/>
    </row>
    <row r="13" spans="1:18" x14ac:dyDescent="0.3">
      <c r="A13" s="12"/>
      <c r="B13" s="12"/>
      <c r="C13" s="12"/>
      <c r="D13" s="12"/>
      <c r="E13" s="12"/>
      <c r="F13" s="12"/>
      <c r="G13" s="12"/>
      <c r="H13" s="12"/>
      <c r="I13" s="12"/>
      <c r="J13" s="12"/>
      <c r="K13" s="12"/>
      <c r="L13" s="12"/>
      <c r="M13" s="12"/>
      <c r="N13" s="12"/>
      <c r="O13" s="12"/>
      <c r="P13" s="12"/>
      <c r="Q13" s="12"/>
      <c r="R13" s="12"/>
    </row>
    <row r="14" spans="1:18" x14ac:dyDescent="0.3">
      <c r="A14" s="12"/>
      <c r="B14" s="12"/>
      <c r="C14" s="12"/>
      <c r="D14" s="12"/>
      <c r="E14" s="12"/>
      <c r="F14" s="12"/>
      <c r="G14" s="12"/>
      <c r="H14" s="12"/>
      <c r="I14" s="12"/>
      <c r="J14" s="12"/>
      <c r="K14" s="12"/>
      <c r="L14" s="12"/>
      <c r="M14" s="12"/>
      <c r="N14" s="12"/>
      <c r="O14" s="12"/>
      <c r="P14" s="12"/>
      <c r="Q14" s="12"/>
      <c r="R14" s="12"/>
    </row>
    <row r="15" spans="1:18" x14ac:dyDescent="0.3">
      <c r="A15" s="12"/>
      <c r="B15" s="12"/>
      <c r="C15" s="12"/>
      <c r="D15" s="12"/>
      <c r="E15" s="12"/>
      <c r="F15" s="12"/>
      <c r="G15" s="12"/>
      <c r="H15" s="12"/>
      <c r="I15" s="12"/>
      <c r="J15" s="12"/>
      <c r="K15" s="12"/>
      <c r="L15" s="12"/>
      <c r="M15" s="12"/>
      <c r="N15" s="12"/>
      <c r="O15" s="12"/>
      <c r="P15" s="12"/>
      <c r="Q15" s="12"/>
      <c r="R15" s="12"/>
    </row>
    <row r="16" spans="1:18" x14ac:dyDescent="0.3">
      <c r="A16" s="12"/>
      <c r="B16" s="12"/>
      <c r="C16" s="12"/>
      <c r="D16" s="12"/>
      <c r="E16" s="12"/>
      <c r="F16" s="12"/>
      <c r="G16" s="12"/>
      <c r="H16" s="12"/>
      <c r="I16" s="12"/>
      <c r="J16" s="12"/>
      <c r="K16" s="12"/>
      <c r="L16" s="12"/>
      <c r="M16" s="12"/>
      <c r="N16" s="12"/>
      <c r="O16" s="12"/>
      <c r="P16" s="12"/>
      <c r="Q16" s="12"/>
      <c r="R16" s="12"/>
    </row>
    <row r="17" spans="1:18" x14ac:dyDescent="0.3">
      <c r="A17" s="12"/>
      <c r="B17" s="12"/>
      <c r="C17" s="12"/>
      <c r="D17" s="12"/>
      <c r="E17" s="12"/>
      <c r="F17" s="12"/>
      <c r="G17" s="12"/>
      <c r="H17" s="12"/>
      <c r="I17" s="12"/>
      <c r="J17" s="12"/>
      <c r="K17" s="12"/>
      <c r="L17" s="12"/>
      <c r="M17" s="12"/>
      <c r="N17" s="12"/>
      <c r="O17" s="12"/>
      <c r="P17" s="12"/>
      <c r="Q17" s="12"/>
      <c r="R17" s="12"/>
    </row>
    <row r="18" spans="1:18" x14ac:dyDescent="0.3">
      <c r="A18" s="12"/>
      <c r="B18" s="12"/>
      <c r="C18" s="12"/>
      <c r="D18" s="12"/>
      <c r="E18" s="12"/>
      <c r="F18" s="12"/>
      <c r="G18" s="12"/>
      <c r="H18" s="12"/>
      <c r="I18" s="12"/>
      <c r="J18" s="12"/>
      <c r="K18" s="12"/>
      <c r="L18" s="12"/>
      <c r="M18" s="12"/>
      <c r="N18" s="12"/>
      <c r="O18" s="12"/>
      <c r="P18" s="12"/>
      <c r="Q18" s="12"/>
      <c r="R18" s="12"/>
    </row>
    <row r="19" spans="1:18" x14ac:dyDescent="0.3">
      <c r="A19" s="12"/>
      <c r="B19" s="12"/>
      <c r="C19" s="12"/>
      <c r="D19" s="12"/>
      <c r="E19" s="12"/>
      <c r="F19" s="12"/>
      <c r="G19" s="12"/>
      <c r="H19" s="12"/>
      <c r="I19" s="12"/>
      <c r="J19" s="12"/>
      <c r="K19" s="12"/>
      <c r="L19" s="12"/>
      <c r="M19" s="12"/>
      <c r="N19" s="12"/>
      <c r="O19" s="12"/>
      <c r="P19" s="12"/>
      <c r="Q19" s="12"/>
      <c r="R19" s="12"/>
    </row>
    <row r="20" spans="1:18" x14ac:dyDescent="0.3">
      <c r="A20" s="12"/>
      <c r="B20" s="12"/>
      <c r="C20" s="12"/>
      <c r="D20" s="12"/>
      <c r="E20" s="12"/>
      <c r="F20" s="12"/>
      <c r="G20" s="12"/>
      <c r="H20" s="12"/>
      <c r="I20" s="12"/>
      <c r="J20" s="12"/>
      <c r="K20" s="12"/>
      <c r="L20" s="12"/>
      <c r="M20" s="12"/>
      <c r="N20" s="12"/>
      <c r="O20" s="12"/>
      <c r="P20" s="12"/>
      <c r="Q20" s="12"/>
      <c r="R20" s="12"/>
    </row>
    <row r="21" spans="1:18" x14ac:dyDescent="0.3">
      <c r="A21" s="12"/>
      <c r="B21" s="12"/>
      <c r="C21" s="12"/>
      <c r="D21" s="12"/>
      <c r="E21" s="12"/>
      <c r="F21" s="12"/>
      <c r="G21" s="12"/>
      <c r="H21" s="12"/>
      <c r="I21" s="12"/>
      <c r="J21" s="12"/>
      <c r="K21" s="12"/>
      <c r="L21" s="12"/>
      <c r="M21" s="12"/>
      <c r="N21" s="12"/>
      <c r="O21" s="12"/>
      <c r="P21" s="12"/>
      <c r="Q21" s="12"/>
      <c r="R21" s="12"/>
    </row>
    <row r="22" spans="1:18" x14ac:dyDescent="0.3">
      <c r="A22" s="12"/>
      <c r="B22" s="12"/>
      <c r="C22" s="12"/>
      <c r="D22" s="12"/>
      <c r="E22" s="12"/>
      <c r="F22" s="12"/>
      <c r="G22" s="12"/>
      <c r="H22" s="12"/>
      <c r="I22" s="12"/>
      <c r="J22" s="12"/>
      <c r="K22" s="12"/>
      <c r="L22" s="12"/>
      <c r="M22" s="12"/>
      <c r="N22" s="12"/>
      <c r="O22" s="12"/>
      <c r="P22" s="12"/>
      <c r="Q22" s="12"/>
      <c r="R22" s="12"/>
    </row>
    <row r="23" spans="1:18" x14ac:dyDescent="0.3">
      <c r="A23" s="12"/>
      <c r="B23" s="12"/>
      <c r="C23" s="12"/>
      <c r="D23" s="12"/>
      <c r="E23" s="12"/>
      <c r="F23" s="12"/>
      <c r="G23" s="12"/>
      <c r="H23" s="12"/>
      <c r="I23" s="12"/>
      <c r="J23" s="12"/>
      <c r="K23" s="12"/>
      <c r="L23" s="12"/>
      <c r="M23" s="12"/>
      <c r="N23" s="12"/>
      <c r="O23" s="12"/>
      <c r="P23" s="12"/>
      <c r="Q23" s="12"/>
      <c r="R23" s="12"/>
    </row>
    <row r="24" spans="1:18" x14ac:dyDescent="0.3">
      <c r="A24" s="12"/>
      <c r="B24" s="12"/>
      <c r="C24" s="12"/>
      <c r="D24" s="12"/>
      <c r="E24" s="12"/>
      <c r="F24" s="12"/>
      <c r="G24" s="12"/>
      <c r="H24" s="12"/>
      <c r="I24" s="12"/>
      <c r="J24" s="12"/>
      <c r="K24" s="12"/>
      <c r="L24" s="12"/>
      <c r="M24" s="12"/>
      <c r="N24" s="12"/>
      <c r="O24" s="12"/>
      <c r="P24" s="12"/>
      <c r="Q24" s="12"/>
      <c r="R24" s="12"/>
    </row>
    <row r="25" spans="1:18" x14ac:dyDescent="0.3">
      <c r="A25" s="12"/>
      <c r="B25" s="12"/>
      <c r="C25" s="12"/>
      <c r="D25" s="12"/>
      <c r="E25" s="12"/>
      <c r="F25" s="12"/>
      <c r="G25" s="12"/>
      <c r="H25" s="12"/>
      <c r="I25" s="12"/>
      <c r="J25" s="12"/>
      <c r="K25" s="12"/>
      <c r="L25" s="12"/>
      <c r="M25" s="12"/>
      <c r="N25" s="12"/>
      <c r="O25" s="12"/>
      <c r="P25" s="12"/>
      <c r="Q25" s="12"/>
      <c r="R25" s="12"/>
    </row>
    <row r="26" spans="1:18" x14ac:dyDescent="0.3">
      <c r="A26" s="12"/>
      <c r="B26" s="12"/>
      <c r="C26" s="12"/>
      <c r="D26" s="12"/>
      <c r="E26" s="12"/>
      <c r="F26" s="12"/>
      <c r="G26" s="12"/>
      <c r="H26" s="12"/>
      <c r="I26" s="12"/>
      <c r="J26" s="12"/>
      <c r="K26" s="12"/>
      <c r="L26" s="12"/>
      <c r="M26" s="12"/>
      <c r="N26" s="12"/>
      <c r="O26" s="12"/>
      <c r="P26" s="12"/>
      <c r="Q26" s="12"/>
      <c r="R26" s="12"/>
    </row>
    <row r="27" spans="1:18" x14ac:dyDescent="0.3">
      <c r="A27" s="12"/>
      <c r="B27" s="12"/>
      <c r="C27" s="12"/>
      <c r="D27" s="12"/>
      <c r="E27" s="12"/>
      <c r="F27" s="12"/>
      <c r="G27" s="12"/>
      <c r="H27" s="12"/>
      <c r="I27" s="12"/>
      <c r="J27" s="12"/>
      <c r="K27" s="12"/>
      <c r="L27" s="12"/>
      <c r="M27" s="12"/>
      <c r="N27" s="12"/>
      <c r="O27" s="12"/>
      <c r="P27" s="12"/>
      <c r="Q27" s="12"/>
      <c r="R27" s="12"/>
    </row>
    <row r="28" spans="1:18" x14ac:dyDescent="0.3">
      <c r="A28" s="12"/>
      <c r="B28" s="12"/>
      <c r="C28" s="12"/>
      <c r="D28" s="12"/>
      <c r="E28" s="12"/>
      <c r="F28" s="12"/>
      <c r="G28" s="12"/>
      <c r="H28" s="12"/>
      <c r="I28" s="12"/>
      <c r="J28" s="12"/>
      <c r="K28" s="12"/>
      <c r="L28" s="12"/>
      <c r="M28" s="12"/>
      <c r="N28" s="12"/>
      <c r="O28" s="12"/>
      <c r="P28" s="12"/>
      <c r="Q28" s="12"/>
      <c r="R28" s="12"/>
    </row>
    <row r="29" spans="1:18" x14ac:dyDescent="0.3">
      <c r="A29" s="12"/>
      <c r="B29" s="12"/>
      <c r="C29" s="12"/>
      <c r="D29" s="12"/>
      <c r="E29" s="12"/>
      <c r="F29" s="12"/>
      <c r="G29" s="12"/>
      <c r="H29" s="12"/>
      <c r="I29" s="12"/>
      <c r="J29" s="12"/>
      <c r="K29" s="12"/>
      <c r="L29" s="12"/>
      <c r="M29" s="12"/>
      <c r="N29" s="12"/>
      <c r="O29" s="12"/>
      <c r="P29" s="12"/>
      <c r="Q29" s="12"/>
      <c r="R29" s="12"/>
    </row>
    <row r="30" spans="1:18" x14ac:dyDescent="0.3">
      <c r="A30" s="12"/>
      <c r="B30" s="12"/>
      <c r="C30" s="12"/>
      <c r="D30" s="12"/>
      <c r="E30" s="12"/>
      <c r="F30" s="12"/>
      <c r="G30" s="12"/>
      <c r="H30" s="12"/>
      <c r="I30" s="12"/>
      <c r="J30" s="12"/>
      <c r="K30" s="12"/>
      <c r="L30" s="12"/>
      <c r="M30" s="12"/>
      <c r="N30" s="12"/>
      <c r="O30" s="12"/>
      <c r="P30" s="12"/>
      <c r="Q30" s="12"/>
      <c r="R30" s="12"/>
    </row>
    <row r="31" spans="1:18" x14ac:dyDescent="0.3">
      <c r="A31" s="12"/>
      <c r="B31" s="12"/>
      <c r="C31" s="12"/>
      <c r="D31" s="12"/>
      <c r="E31" s="12"/>
      <c r="F31" s="12"/>
      <c r="G31" s="12"/>
      <c r="H31" s="12"/>
      <c r="I31" s="12"/>
      <c r="J31" s="12"/>
      <c r="K31" s="12"/>
      <c r="L31" s="12"/>
      <c r="M31" s="12"/>
      <c r="N31" s="12"/>
      <c r="O31" s="12"/>
      <c r="P31" s="12"/>
      <c r="Q31" s="12"/>
      <c r="R31" s="12"/>
    </row>
    <row r="32" spans="1:18" x14ac:dyDescent="0.3">
      <c r="A32" s="12"/>
      <c r="B32" s="12"/>
      <c r="C32" s="12"/>
      <c r="D32" s="12"/>
      <c r="E32" s="12"/>
      <c r="F32" s="12"/>
      <c r="G32" s="12"/>
      <c r="H32" s="12"/>
      <c r="I32" s="12"/>
      <c r="J32" s="12"/>
      <c r="K32" s="12"/>
      <c r="L32" s="12"/>
      <c r="M32" s="12"/>
      <c r="N32" s="12"/>
      <c r="O32" s="12"/>
      <c r="P32" s="12"/>
      <c r="Q32" s="12"/>
      <c r="R32" s="12"/>
    </row>
    <row r="33" spans="1:18" x14ac:dyDescent="0.3">
      <c r="A33" s="12"/>
      <c r="B33" s="12"/>
      <c r="C33" s="12"/>
      <c r="D33" s="12"/>
      <c r="E33" s="12"/>
      <c r="F33" s="12"/>
      <c r="G33" s="12"/>
      <c r="H33" s="12"/>
      <c r="I33" s="12"/>
      <c r="J33" s="12"/>
      <c r="K33" s="12"/>
      <c r="L33" s="12"/>
      <c r="M33" s="12"/>
      <c r="N33" s="12"/>
      <c r="O33" s="12"/>
      <c r="P33" s="12"/>
      <c r="Q33" s="12"/>
      <c r="R33" s="12"/>
    </row>
    <row r="34" spans="1:18" x14ac:dyDescent="0.3">
      <c r="A34" s="12"/>
      <c r="B34" s="12"/>
      <c r="C34" s="12"/>
      <c r="D34" s="12"/>
      <c r="E34" s="12"/>
      <c r="F34" s="12"/>
      <c r="G34" s="12"/>
      <c r="H34" s="12"/>
      <c r="I34" s="12"/>
      <c r="J34" s="12"/>
      <c r="K34" s="12"/>
      <c r="L34" s="12"/>
      <c r="M34" s="12"/>
      <c r="N34" s="12"/>
      <c r="O34" s="12"/>
      <c r="P34" s="12"/>
      <c r="Q34" s="12"/>
      <c r="R34" s="12"/>
    </row>
    <row r="35" spans="1:18" x14ac:dyDescent="0.3">
      <c r="A35" s="12"/>
      <c r="B35" s="12"/>
      <c r="C35" s="12"/>
      <c r="D35" s="12"/>
      <c r="E35" s="12"/>
      <c r="F35" s="12"/>
      <c r="G35" s="12"/>
      <c r="H35" s="12"/>
      <c r="I35" s="12"/>
      <c r="J35" s="12"/>
      <c r="K35" s="12"/>
      <c r="L35" s="12"/>
      <c r="M35" s="12"/>
      <c r="N35" s="12"/>
      <c r="O35" s="12"/>
      <c r="P35" s="12"/>
      <c r="Q35" s="12"/>
      <c r="R35" s="12"/>
    </row>
    <row r="36" spans="1:18" x14ac:dyDescent="0.3">
      <c r="A36" s="12"/>
      <c r="B36" s="12"/>
      <c r="C36" s="12"/>
      <c r="D36" s="12"/>
      <c r="E36" s="12"/>
      <c r="F36" s="12"/>
      <c r="G36" s="12"/>
      <c r="H36" s="12"/>
      <c r="I36" s="12"/>
      <c r="J36" s="12"/>
      <c r="K36" s="12"/>
      <c r="L36" s="12"/>
      <c r="M36" s="12"/>
      <c r="N36" s="12"/>
      <c r="O36" s="12"/>
      <c r="P36" s="12"/>
      <c r="Q36" s="12"/>
      <c r="R36" s="12"/>
    </row>
    <row r="37" spans="1:18" x14ac:dyDescent="0.3">
      <c r="A37" s="12"/>
      <c r="B37" s="12"/>
      <c r="C37" s="12"/>
      <c r="D37" s="12"/>
      <c r="E37" s="12"/>
      <c r="F37" s="12"/>
      <c r="G37" s="12"/>
      <c r="H37" s="12"/>
      <c r="I37" s="12"/>
      <c r="J37" s="12"/>
      <c r="K37" s="12"/>
      <c r="L37" s="12"/>
      <c r="M37" s="12"/>
      <c r="N37" s="12"/>
      <c r="O37" s="12"/>
      <c r="P37" s="12"/>
      <c r="Q37" s="12"/>
      <c r="R37" s="12"/>
    </row>
    <row r="38" spans="1:18" x14ac:dyDescent="0.3">
      <c r="A38" s="12"/>
      <c r="B38" s="12"/>
      <c r="C38" s="12"/>
      <c r="D38" s="12"/>
      <c r="E38" s="12"/>
      <c r="F38" s="12"/>
      <c r="G38" s="12"/>
      <c r="H38" s="12"/>
      <c r="I38" s="12"/>
      <c r="J38" s="12"/>
      <c r="K38" s="12"/>
      <c r="L38" s="12"/>
      <c r="M38" s="12"/>
      <c r="N38" s="12"/>
      <c r="O38" s="12"/>
      <c r="P38" s="12"/>
      <c r="Q38" s="12"/>
      <c r="R38" s="12"/>
    </row>
    <row r="39" spans="1:18" x14ac:dyDescent="0.3">
      <c r="A39" s="12"/>
      <c r="B39" s="12"/>
      <c r="C39" s="12"/>
      <c r="D39" s="12"/>
      <c r="E39" s="12"/>
      <c r="F39" s="12"/>
      <c r="G39" s="12"/>
      <c r="H39" s="12"/>
      <c r="I39" s="12"/>
      <c r="J39" s="12"/>
      <c r="K39" s="12"/>
      <c r="L39" s="12"/>
      <c r="M39" s="12"/>
      <c r="N39" s="12"/>
      <c r="O39" s="12"/>
      <c r="P39" s="12"/>
      <c r="Q39" s="12"/>
      <c r="R39" s="12"/>
    </row>
    <row r="40" spans="1:18" x14ac:dyDescent="0.3">
      <c r="A40" s="12"/>
      <c r="B40" s="12"/>
      <c r="C40" s="12"/>
      <c r="D40" s="12"/>
      <c r="E40" s="12"/>
      <c r="F40" s="12"/>
      <c r="G40" s="12"/>
      <c r="H40" s="12"/>
      <c r="I40" s="12"/>
      <c r="J40" s="12"/>
      <c r="K40" s="12"/>
      <c r="L40" s="12"/>
      <c r="M40" s="12"/>
      <c r="N40" s="12"/>
      <c r="O40" s="12"/>
      <c r="P40" s="12"/>
      <c r="Q40" s="12"/>
      <c r="R40" s="12"/>
    </row>
    <row r="41" spans="1:18" x14ac:dyDescent="0.3">
      <c r="A41" s="12"/>
      <c r="B41" s="12"/>
      <c r="C41" s="12"/>
      <c r="D41" s="12"/>
      <c r="E41" s="12"/>
      <c r="F41" s="12"/>
      <c r="G41" s="12"/>
      <c r="H41" s="12"/>
      <c r="I41" s="12"/>
      <c r="J41" s="12"/>
      <c r="K41" s="12"/>
      <c r="L41" s="12"/>
      <c r="M41" s="12"/>
      <c r="N41" s="12"/>
      <c r="O41" s="12"/>
      <c r="P41" s="12"/>
      <c r="Q41" s="12"/>
      <c r="R41" s="12"/>
    </row>
    <row r="42" spans="1:18" x14ac:dyDescent="0.3">
      <c r="A42" s="12"/>
      <c r="B42" s="12"/>
      <c r="C42" s="12"/>
      <c r="D42" s="12"/>
      <c r="E42" s="12"/>
      <c r="F42" s="12"/>
      <c r="G42" s="12"/>
      <c r="H42" s="12"/>
      <c r="I42" s="12"/>
      <c r="J42" s="12"/>
      <c r="K42" s="12"/>
      <c r="L42" s="12"/>
      <c r="M42" s="12"/>
      <c r="N42" s="12"/>
      <c r="O42" s="12"/>
      <c r="P42" s="12"/>
      <c r="Q42" s="12"/>
      <c r="R42" s="12"/>
    </row>
    <row r="43" spans="1:18" x14ac:dyDescent="0.3">
      <c r="A43" s="12"/>
      <c r="B43" s="12"/>
      <c r="C43" s="12"/>
      <c r="D43" s="12"/>
      <c r="E43" s="12"/>
      <c r="F43" s="12"/>
      <c r="G43" s="12"/>
      <c r="H43" s="12"/>
      <c r="I43" s="12"/>
      <c r="J43" s="12"/>
      <c r="K43" s="12"/>
      <c r="L43" s="12"/>
      <c r="M43" s="12"/>
      <c r="N43" s="12"/>
      <c r="O43" s="12"/>
      <c r="P43" s="12"/>
      <c r="Q43" s="12"/>
      <c r="R4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53C8-0ABE-4729-8086-7B1427D0C9F2}">
  <dimension ref="A1:T43"/>
  <sheetViews>
    <sheetView tabSelected="1" zoomScale="39" workbookViewId="0"/>
  </sheetViews>
  <sheetFormatPr defaultRowHeight="14.4" x14ac:dyDescent="0.3"/>
  <sheetData>
    <row r="1" spans="1:20" x14ac:dyDescent="0.3">
      <c r="A1" s="13"/>
      <c r="B1" s="13"/>
      <c r="C1" s="13"/>
      <c r="D1" s="13"/>
      <c r="E1" s="13"/>
      <c r="F1" s="13"/>
      <c r="G1" s="13"/>
      <c r="H1" s="13"/>
      <c r="I1" s="13"/>
      <c r="J1" s="13"/>
      <c r="K1" s="13"/>
      <c r="L1" s="13"/>
      <c r="M1" s="13"/>
      <c r="N1" s="13"/>
      <c r="O1" s="13"/>
      <c r="P1" s="13"/>
      <c r="Q1" s="13"/>
      <c r="R1" s="13"/>
      <c r="S1" s="13"/>
      <c r="T1" s="13"/>
    </row>
    <row r="2" spans="1:20" x14ac:dyDescent="0.3">
      <c r="A2" s="13"/>
      <c r="B2" s="13"/>
      <c r="C2" s="13"/>
      <c r="D2" s="13"/>
      <c r="E2" s="13"/>
      <c r="F2" s="13"/>
      <c r="G2" s="13"/>
      <c r="H2" s="13"/>
      <c r="I2" s="13"/>
      <c r="J2" s="13"/>
      <c r="K2" s="13"/>
      <c r="L2" s="13"/>
      <c r="M2" s="13"/>
      <c r="N2" s="13"/>
      <c r="O2" s="13"/>
      <c r="P2" s="13"/>
      <c r="Q2" s="13"/>
      <c r="R2" s="13"/>
      <c r="S2" s="13"/>
      <c r="T2" s="13"/>
    </row>
    <row r="3" spans="1:20" x14ac:dyDescent="0.3">
      <c r="A3" s="13"/>
      <c r="B3" s="13"/>
      <c r="C3" s="13"/>
      <c r="D3" s="13"/>
      <c r="E3" s="13"/>
      <c r="F3" s="13"/>
      <c r="G3" s="13"/>
      <c r="H3" s="13"/>
      <c r="I3" s="13"/>
      <c r="J3" s="13"/>
      <c r="K3" s="13"/>
      <c r="L3" s="13"/>
      <c r="M3" s="13"/>
      <c r="N3" s="13"/>
      <c r="O3" s="13"/>
      <c r="P3" s="13"/>
      <c r="Q3" s="13"/>
      <c r="R3" s="13"/>
      <c r="S3" s="13"/>
      <c r="T3" s="13"/>
    </row>
    <row r="4" spans="1:20" x14ac:dyDescent="0.3">
      <c r="A4" s="13"/>
      <c r="B4" s="13"/>
      <c r="C4" s="13"/>
      <c r="D4" s="13"/>
      <c r="E4" s="13"/>
      <c r="F4" s="13"/>
      <c r="G4" s="13"/>
      <c r="H4" s="13"/>
      <c r="I4" s="13"/>
      <c r="J4" s="13"/>
      <c r="K4" s="13"/>
      <c r="L4" s="13"/>
      <c r="M4" s="13"/>
      <c r="N4" s="13"/>
      <c r="O4" s="13"/>
      <c r="P4" s="13"/>
      <c r="Q4" s="13"/>
      <c r="R4" s="13"/>
      <c r="S4" s="13"/>
      <c r="T4" s="13"/>
    </row>
    <row r="5" spans="1:20" x14ac:dyDescent="0.3">
      <c r="A5" s="13"/>
      <c r="B5" s="13"/>
      <c r="C5" s="13"/>
      <c r="D5" s="13"/>
      <c r="E5" s="13"/>
      <c r="F5" s="13"/>
      <c r="G5" s="13"/>
      <c r="H5" s="13"/>
      <c r="I5" s="13"/>
      <c r="J5" s="13"/>
      <c r="K5" s="13"/>
      <c r="L5" s="13"/>
      <c r="M5" s="13"/>
      <c r="N5" s="13"/>
      <c r="O5" s="13"/>
      <c r="P5" s="13"/>
      <c r="Q5" s="13"/>
      <c r="R5" s="13"/>
      <c r="S5" s="13"/>
      <c r="T5" s="13"/>
    </row>
    <row r="6" spans="1:20" x14ac:dyDescent="0.3">
      <c r="A6" s="13"/>
      <c r="B6" s="13"/>
      <c r="C6" s="13"/>
      <c r="D6" s="13"/>
      <c r="E6" s="13"/>
      <c r="F6" s="13"/>
      <c r="G6" s="13"/>
      <c r="H6" s="13"/>
      <c r="I6" s="13"/>
      <c r="J6" s="13"/>
      <c r="K6" s="13"/>
      <c r="L6" s="13"/>
      <c r="M6" s="13"/>
      <c r="N6" s="13"/>
      <c r="O6" s="13"/>
      <c r="P6" s="13"/>
      <c r="Q6" s="13"/>
      <c r="R6" s="13"/>
      <c r="S6" s="13"/>
      <c r="T6" s="13"/>
    </row>
    <row r="7" spans="1:20" x14ac:dyDescent="0.3">
      <c r="A7" s="13"/>
      <c r="B7" s="13"/>
      <c r="C7" s="13"/>
      <c r="D7" s="13"/>
      <c r="E7" s="13"/>
      <c r="F7" s="13"/>
      <c r="G7" s="13"/>
      <c r="H7" s="13"/>
      <c r="I7" s="13"/>
      <c r="J7" s="13"/>
      <c r="K7" s="13"/>
      <c r="L7" s="13"/>
      <c r="M7" s="13"/>
      <c r="N7" s="13"/>
      <c r="O7" s="13"/>
      <c r="P7" s="13"/>
      <c r="Q7" s="13"/>
      <c r="R7" s="13"/>
      <c r="S7" s="13"/>
      <c r="T7" s="13"/>
    </row>
    <row r="8" spans="1:20" x14ac:dyDescent="0.3">
      <c r="A8" s="13"/>
      <c r="B8" s="13"/>
      <c r="C8" s="13"/>
      <c r="D8" s="13"/>
      <c r="E8" s="13"/>
      <c r="F8" s="13"/>
      <c r="G8" s="13"/>
      <c r="H8" s="13"/>
      <c r="I8" s="13"/>
      <c r="J8" s="13"/>
      <c r="K8" s="13"/>
      <c r="L8" s="13"/>
      <c r="M8" s="13"/>
      <c r="N8" s="13"/>
      <c r="O8" s="13"/>
      <c r="P8" s="13"/>
      <c r="Q8" s="13"/>
      <c r="R8" s="13"/>
      <c r="S8" s="13"/>
      <c r="T8" s="13"/>
    </row>
    <row r="9" spans="1:20" x14ac:dyDescent="0.3">
      <c r="A9" s="13"/>
      <c r="B9" s="13"/>
      <c r="C9" s="13"/>
      <c r="D9" s="13"/>
      <c r="E9" s="13"/>
      <c r="F9" s="13"/>
      <c r="G9" s="13"/>
      <c r="H9" s="13"/>
      <c r="I9" s="13"/>
      <c r="J9" s="13"/>
      <c r="K9" s="13"/>
      <c r="L9" s="13"/>
      <c r="M9" s="13"/>
      <c r="N9" s="13"/>
      <c r="O9" s="13"/>
      <c r="P9" s="13"/>
      <c r="Q9" s="13"/>
      <c r="R9" s="13"/>
      <c r="S9" s="13"/>
      <c r="T9" s="13"/>
    </row>
    <row r="10" spans="1:20" x14ac:dyDescent="0.3">
      <c r="A10" s="13"/>
      <c r="B10" s="13"/>
      <c r="C10" s="13"/>
      <c r="D10" s="13"/>
      <c r="E10" s="13"/>
      <c r="F10" s="13"/>
      <c r="G10" s="13"/>
      <c r="H10" s="13"/>
      <c r="I10" s="13"/>
      <c r="J10" s="13"/>
      <c r="K10" s="13"/>
      <c r="L10" s="13"/>
      <c r="M10" s="13"/>
      <c r="N10" s="13"/>
      <c r="O10" s="13"/>
      <c r="P10" s="13"/>
      <c r="Q10" s="13"/>
      <c r="R10" s="13"/>
      <c r="S10" s="13"/>
      <c r="T10" s="13"/>
    </row>
    <row r="11" spans="1:20" x14ac:dyDescent="0.3">
      <c r="A11" s="13"/>
      <c r="B11" s="13"/>
      <c r="C11" s="13"/>
      <c r="D11" s="13"/>
      <c r="E11" s="13"/>
      <c r="F11" s="13"/>
      <c r="G11" s="13"/>
      <c r="H11" s="13"/>
      <c r="I11" s="13"/>
      <c r="J11" s="13"/>
      <c r="K11" s="13"/>
      <c r="L11" s="13"/>
      <c r="M11" s="13"/>
      <c r="N11" s="13"/>
      <c r="O11" s="13"/>
      <c r="P11" s="13"/>
      <c r="Q11" s="13"/>
      <c r="R11" s="13"/>
      <c r="S11" s="13"/>
      <c r="T11" s="13"/>
    </row>
    <row r="12" spans="1:20" x14ac:dyDescent="0.3">
      <c r="A12" s="13"/>
      <c r="B12" s="13"/>
      <c r="C12" s="13"/>
      <c r="D12" s="13"/>
      <c r="E12" s="13"/>
      <c r="F12" s="13"/>
      <c r="G12" s="13"/>
      <c r="H12" s="13"/>
      <c r="I12" s="13"/>
      <c r="J12" s="13"/>
      <c r="K12" s="13"/>
      <c r="L12" s="13"/>
      <c r="M12" s="13"/>
      <c r="N12" s="13"/>
      <c r="O12" s="13"/>
      <c r="P12" s="13"/>
      <c r="Q12" s="13"/>
      <c r="R12" s="13"/>
      <c r="S12" s="13"/>
      <c r="T12" s="13"/>
    </row>
    <row r="13" spans="1:20" x14ac:dyDescent="0.3">
      <c r="A13" s="13"/>
      <c r="B13" s="13"/>
      <c r="C13" s="13"/>
      <c r="D13" s="13"/>
      <c r="E13" s="13"/>
      <c r="F13" s="13"/>
      <c r="G13" s="13"/>
      <c r="H13" s="13"/>
      <c r="I13" s="13"/>
      <c r="J13" s="13"/>
      <c r="K13" s="13"/>
      <c r="L13" s="13"/>
      <c r="M13" s="13"/>
      <c r="N13" s="13"/>
      <c r="O13" s="13"/>
      <c r="P13" s="13"/>
      <c r="Q13" s="13"/>
      <c r="R13" s="13"/>
      <c r="S13" s="13"/>
      <c r="T13" s="13"/>
    </row>
    <row r="14" spans="1:20" x14ac:dyDescent="0.3">
      <c r="A14" s="13"/>
      <c r="B14" s="13"/>
      <c r="C14" s="13"/>
      <c r="D14" s="13"/>
      <c r="E14" s="13"/>
      <c r="F14" s="13"/>
      <c r="G14" s="13"/>
      <c r="H14" s="13"/>
      <c r="I14" s="13"/>
      <c r="J14" s="13"/>
      <c r="K14" s="13"/>
      <c r="L14" s="13"/>
      <c r="M14" s="13"/>
      <c r="N14" s="13"/>
      <c r="O14" s="13"/>
      <c r="P14" s="13"/>
      <c r="Q14" s="13"/>
      <c r="R14" s="13"/>
      <c r="S14" s="13"/>
      <c r="T14" s="13"/>
    </row>
    <row r="15" spans="1:20" x14ac:dyDescent="0.3">
      <c r="A15" s="13"/>
      <c r="B15" s="13"/>
      <c r="C15" s="13"/>
      <c r="D15" s="13"/>
      <c r="E15" s="13"/>
      <c r="F15" s="13"/>
      <c r="G15" s="13"/>
      <c r="H15" s="13"/>
      <c r="I15" s="13"/>
      <c r="J15" s="13"/>
      <c r="K15" s="13"/>
      <c r="L15" s="13"/>
      <c r="M15" s="13"/>
      <c r="N15" s="13"/>
      <c r="O15" s="13"/>
      <c r="P15" s="13"/>
      <c r="Q15" s="13"/>
      <c r="R15" s="13"/>
      <c r="S15" s="13"/>
      <c r="T15" s="13"/>
    </row>
    <row r="16" spans="1:20" x14ac:dyDescent="0.3">
      <c r="A16" s="13"/>
      <c r="B16" s="13"/>
      <c r="C16" s="13"/>
      <c r="D16" s="13"/>
      <c r="E16" s="13"/>
      <c r="F16" s="13"/>
      <c r="G16" s="13"/>
      <c r="H16" s="13"/>
      <c r="I16" s="13"/>
      <c r="J16" s="13"/>
      <c r="K16" s="13"/>
      <c r="L16" s="13"/>
      <c r="M16" s="13"/>
      <c r="N16" s="13"/>
      <c r="O16" s="13"/>
      <c r="P16" s="13"/>
      <c r="Q16" s="13"/>
      <c r="R16" s="13"/>
      <c r="S16" s="13"/>
      <c r="T16" s="13"/>
    </row>
    <row r="17" spans="1:20" x14ac:dyDescent="0.3">
      <c r="A17" s="13"/>
      <c r="B17" s="13"/>
      <c r="C17" s="13"/>
      <c r="D17" s="13"/>
      <c r="E17" s="13"/>
      <c r="F17" s="13"/>
      <c r="G17" s="13"/>
      <c r="H17" s="13"/>
      <c r="I17" s="13"/>
      <c r="J17" s="13"/>
      <c r="K17" s="13"/>
      <c r="L17" s="13"/>
      <c r="M17" s="13"/>
      <c r="N17" s="13"/>
      <c r="O17" s="13"/>
      <c r="P17" s="13"/>
      <c r="Q17" s="13"/>
      <c r="R17" s="13"/>
      <c r="S17" s="13"/>
      <c r="T17" s="13"/>
    </row>
    <row r="18" spans="1:20" x14ac:dyDescent="0.3">
      <c r="A18" s="13"/>
      <c r="B18" s="13"/>
      <c r="C18" s="13"/>
      <c r="D18" s="13"/>
      <c r="E18" s="13"/>
      <c r="F18" s="13"/>
      <c r="G18" s="13"/>
      <c r="H18" s="13"/>
      <c r="I18" s="13"/>
      <c r="J18" s="13"/>
      <c r="K18" s="13"/>
      <c r="L18" s="13"/>
      <c r="M18" s="13"/>
      <c r="N18" s="13"/>
      <c r="O18" s="13"/>
      <c r="P18" s="13"/>
      <c r="Q18" s="13"/>
      <c r="R18" s="13"/>
      <c r="S18" s="13"/>
      <c r="T18" s="13"/>
    </row>
    <row r="19" spans="1:20" x14ac:dyDescent="0.3">
      <c r="A19" s="13"/>
      <c r="B19" s="13"/>
      <c r="C19" s="13"/>
      <c r="D19" s="13"/>
      <c r="E19" s="13"/>
      <c r="F19" s="13"/>
      <c r="G19" s="13"/>
      <c r="H19" s="13"/>
      <c r="I19" s="13"/>
      <c r="J19" s="13"/>
      <c r="K19" s="13"/>
      <c r="L19" s="13"/>
      <c r="M19" s="13"/>
      <c r="N19" s="13"/>
      <c r="O19" s="13"/>
      <c r="P19" s="13"/>
      <c r="Q19" s="13"/>
      <c r="R19" s="13"/>
      <c r="S19" s="13"/>
      <c r="T19" s="13"/>
    </row>
    <row r="20" spans="1:20" x14ac:dyDescent="0.3">
      <c r="A20" s="13"/>
      <c r="B20" s="13"/>
      <c r="C20" s="13"/>
      <c r="D20" s="13"/>
      <c r="E20" s="13"/>
      <c r="F20" s="13"/>
      <c r="G20" s="13"/>
      <c r="H20" s="13"/>
      <c r="I20" s="13"/>
      <c r="J20" s="13"/>
      <c r="K20" s="13"/>
      <c r="L20" s="13"/>
      <c r="M20" s="13"/>
      <c r="N20" s="13"/>
      <c r="O20" s="13"/>
      <c r="P20" s="13"/>
      <c r="Q20" s="13"/>
      <c r="R20" s="13"/>
      <c r="S20" s="13"/>
      <c r="T20" s="13"/>
    </row>
    <row r="21" spans="1:20" x14ac:dyDescent="0.3">
      <c r="A21" s="13"/>
      <c r="B21" s="13"/>
      <c r="C21" s="13"/>
      <c r="D21" s="13"/>
      <c r="E21" s="13"/>
      <c r="F21" s="13"/>
      <c r="G21" s="13"/>
      <c r="H21" s="13"/>
      <c r="I21" s="13"/>
      <c r="J21" s="13"/>
      <c r="K21" s="13"/>
      <c r="L21" s="13"/>
      <c r="M21" s="13"/>
      <c r="N21" s="13"/>
      <c r="O21" s="13"/>
      <c r="P21" s="13"/>
      <c r="Q21" s="13"/>
      <c r="R21" s="13"/>
      <c r="S21" s="13"/>
      <c r="T21" s="13"/>
    </row>
    <row r="22" spans="1:20" x14ac:dyDescent="0.3">
      <c r="A22" s="13"/>
      <c r="B22" s="13"/>
      <c r="C22" s="13"/>
      <c r="D22" s="13"/>
      <c r="E22" s="13"/>
      <c r="F22" s="13"/>
      <c r="G22" s="13"/>
      <c r="H22" s="13"/>
      <c r="I22" s="13"/>
      <c r="J22" s="13"/>
      <c r="K22" s="13"/>
      <c r="L22" s="13"/>
      <c r="M22" s="13"/>
      <c r="N22" s="13"/>
      <c r="O22" s="13"/>
      <c r="P22" s="13"/>
      <c r="Q22" s="13"/>
      <c r="R22" s="13"/>
      <c r="S22" s="13"/>
      <c r="T22" s="13"/>
    </row>
    <row r="23" spans="1:20" x14ac:dyDescent="0.3">
      <c r="A23" s="13"/>
      <c r="B23" s="13"/>
      <c r="C23" s="13"/>
      <c r="D23" s="13"/>
      <c r="E23" s="13"/>
      <c r="F23" s="13"/>
      <c r="G23" s="13"/>
      <c r="H23" s="13"/>
      <c r="I23" s="13"/>
      <c r="J23" s="13"/>
      <c r="K23" s="13"/>
      <c r="L23" s="13"/>
      <c r="M23" s="13"/>
      <c r="N23" s="13"/>
      <c r="O23" s="13"/>
      <c r="P23" s="13"/>
      <c r="Q23" s="13"/>
      <c r="R23" s="13"/>
      <c r="S23" s="13"/>
      <c r="T23" s="13"/>
    </row>
    <row r="24" spans="1:20" x14ac:dyDescent="0.3">
      <c r="A24" s="13"/>
      <c r="B24" s="13"/>
      <c r="C24" s="13"/>
      <c r="D24" s="13"/>
      <c r="E24" s="13"/>
      <c r="F24" s="13"/>
      <c r="G24" s="13"/>
      <c r="H24" s="13"/>
      <c r="I24" s="13"/>
      <c r="J24" s="13"/>
      <c r="K24" s="13"/>
      <c r="L24" s="13"/>
      <c r="M24" s="13"/>
      <c r="N24" s="13"/>
      <c r="O24" s="13"/>
      <c r="P24" s="13"/>
      <c r="Q24" s="13"/>
      <c r="R24" s="13"/>
      <c r="S24" s="13"/>
      <c r="T24" s="13"/>
    </row>
    <row r="25" spans="1:20" x14ac:dyDescent="0.3">
      <c r="A25" s="13"/>
      <c r="B25" s="13"/>
      <c r="C25" s="13"/>
      <c r="D25" s="13"/>
      <c r="E25" s="13"/>
      <c r="F25" s="13"/>
      <c r="G25" s="13"/>
      <c r="H25" s="13"/>
      <c r="I25" s="13"/>
      <c r="J25" s="13"/>
      <c r="K25" s="13"/>
      <c r="L25" s="13"/>
      <c r="M25" s="13"/>
      <c r="N25" s="13"/>
      <c r="O25" s="13"/>
      <c r="P25" s="13"/>
      <c r="Q25" s="13"/>
      <c r="R25" s="13"/>
      <c r="S25" s="13"/>
      <c r="T25" s="13"/>
    </row>
    <row r="26" spans="1:20" x14ac:dyDescent="0.3">
      <c r="A26" s="13"/>
      <c r="B26" s="13"/>
      <c r="C26" s="13"/>
      <c r="D26" s="13"/>
      <c r="E26" s="13"/>
      <c r="F26" s="13"/>
      <c r="G26" s="13"/>
      <c r="H26" s="13"/>
      <c r="I26" s="13"/>
      <c r="J26" s="13"/>
      <c r="K26" s="13"/>
      <c r="L26" s="13"/>
      <c r="M26" s="13"/>
      <c r="N26" s="13"/>
      <c r="O26" s="13"/>
      <c r="P26" s="13"/>
      <c r="Q26" s="13"/>
      <c r="R26" s="13"/>
      <c r="S26" s="13"/>
      <c r="T26" s="13"/>
    </row>
    <row r="27" spans="1:20" x14ac:dyDescent="0.3">
      <c r="A27" s="13"/>
      <c r="B27" s="13"/>
      <c r="C27" s="13"/>
      <c r="D27" s="13"/>
      <c r="E27" s="13"/>
      <c r="F27" s="13"/>
      <c r="G27" s="13"/>
      <c r="H27" s="13"/>
      <c r="I27" s="13"/>
      <c r="J27" s="13"/>
      <c r="K27" s="13"/>
      <c r="L27" s="13"/>
      <c r="M27" s="13"/>
      <c r="N27" s="13"/>
      <c r="O27" s="13"/>
      <c r="P27" s="13"/>
      <c r="Q27" s="13"/>
      <c r="R27" s="13"/>
      <c r="S27" s="13"/>
      <c r="T27" s="13"/>
    </row>
    <row r="28" spans="1:20" x14ac:dyDescent="0.3">
      <c r="A28" s="13"/>
      <c r="B28" s="13"/>
      <c r="C28" s="13"/>
      <c r="D28" s="13"/>
      <c r="E28" s="13"/>
      <c r="F28" s="13"/>
      <c r="G28" s="13"/>
      <c r="H28" s="13"/>
      <c r="I28" s="13"/>
      <c r="J28" s="13"/>
      <c r="K28" s="13"/>
      <c r="L28" s="13"/>
      <c r="M28" s="13"/>
      <c r="N28" s="13"/>
      <c r="O28" s="13"/>
      <c r="P28" s="13"/>
      <c r="Q28" s="13"/>
      <c r="R28" s="13"/>
      <c r="S28" s="13"/>
      <c r="T28" s="13"/>
    </row>
    <row r="29" spans="1:20" x14ac:dyDescent="0.3">
      <c r="A29" s="13"/>
      <c r="B29" s="13"/>
      <c r="C29" s="13"/>
      <c r="D29" s="13"/>
      <c r="E29" s="13"/>
      <c r="F29" s="13"/>
      <c r="G29" s="13"/>
      <c r="H29" s="13"/>
      <c r="I29" s="13"/>
      <c r="J29" s="13"/>
      <c r="K29" s="13"/>
      <c r="L29" s="13"/>
      <c r="M29" s="13"/>
      <c r="N29" s="13"/>
      <c r="O29" s="13"/>
      <c r="P29" s="13"/>
      <c r="Q29" s="13"/>
      <c r="R29" s="13"/>
      <c r="S29" s="13"/>
      <c r="T29" s="13"/>
    </row>
    <row r="30" spans="1:20" x14ac:dyDescent="0.3">
      <c r="A30" s="13"/>
      <c r="B30" s="13"/>
      <c r="C30" s="13"/>
      <c r="D30" s="13"/>
      <c r="E30" s="13"/>
      <c r="F30" s="13"/>
      <c r="G30" s="13"/>
      <c r="H30" s="13"/>
      <c r="I30" s="13"/>
      <c r="J30" s="13"/>
      <c r="K30" s="13"/>
      <c r="L30" s="13"/>
      <c r="M30" s="13"/>
      <c r="N30" s="13"/>
      <c r="O30" s="13"/>
      <c r="P30" s="13"/>
      <c r="Q30" s="13"/>
      <c r="R30" s="13"/>
      <c r="S30" s="13"/>
      <c r="T30" s="13"/>
    </row>
    <row r="31" spans="1:20" x14ac:dyDescent="0.3">
      <c r="A31" s="13"/>
      <c r="B31" s="13"/>
      <c r="C31" s="13"/>
      <c r="D31" s="13"/>
      <c r="E31" s="13"/>
      <c r="F31" s="13"/>
      <c r="G31" s="13"/>
      <c r="H31" s="13"/>
      <c r="I31" s="13"/>
      <c r="J31" s="13"/>
      <c r="K31" s="13"/>
      <c r="L31" s="13"/>
      <c r="M31" s="13"/>
      <c r="N31" s="13"/>
      <c r="O31" s="13"/>
      <c r="P31" s="13"/>
      <c r="Q31" s="13"/>
      <c r="R31" s="13"/>
      <c r="S31" s="13"/>
      <c r="T31" s="13"/>
    </row>
    <row r="32" spans="1:20" x14ac:dyDescent="0.3">
      <c r="A32" s="13"/>
      <c r="B32" s="13"/>
      <c r="C32" s="13"/>
      <c r="D32" s="13"/>
      <c r="E32" s="13"/>
      <c r="F32" s="13"/>
      <c r="G32" s="13"/>
      <c r="H32" s="13"/>
      <c r="I32" s="13"/>
      <c r="J32" s="13"/>
      <c r="K32" s="13"/>
      <c r="L32" s="13"/>
      <c r="M32" s="13"/>
      <c r="N32" s="13"/>
      <c r="O32" s="13"/>
      <c r="P32" s="13"/>
      <c r="Q32" s="13"/>
      <c r="R32" s="13"/>
      <c r="S32" s="13"/>
      <c r="T32" s="13"/>
    </row>
    <row r="33" spans="1:20" x14ac:dyDescent="0.3">
      <c r="A33" s="13"/>
      <c r="B33" s="13"/>
      <c r="C33" s="13"/>
      <c r="D33" s="13"/>
      <c r="E33" s="13"/>
      <c r="F33" s="13"/>
      <c r="G33" s="13"/>
      <c r="H33" s="13"/>
      <c r="I33" s="13"/>
      <c r="J33" s="13"/>
      <c r="K33" s="13"/>
      <c r="L33" s="13"/>
      <c r="M33" s="13"/>
      <c r="N33" s="13"/>
      <c r="O33" s="13"/>
      <c r="P33" s="13"/>
      <c r="Q33" s="13"/>
      <c r="R33" s="13"/>
      <c r="S33" s="13"/>
      <c r="T33" s="13"/>
    </row>
    <row r="34" spans="1:20" x14ac:dyDescent="0.3">
      <c r="A34" s="13"/>
      <c r="B34" s="13"/>
      <c r="C34" s="13"/>
      <c r="D34" s="13"/>
      <c r="E34" s="13"/>
      <c r="F34" s="13"/>
      <c r="G34" s="13"/>
      <c r="H34" s="13"/>
      <c r="I34" s="13"/>
      <c r="J34" s="13"/>
      <c r="K34" s="13"/>
      <c r="L34" s="13"/>
      <c r="M34" s="13"/>
      <c r="N34" s="13"/>
      <c r="O34" s="13"/>
      <c r="P34" s="13"/>
      <c r="Q34" s="13"/>
      <c r="R34" s="13"/>
      <c r="S34" s="13"/>
      <c r="T34" s="13"/>
    </row>
    <row r="35" spans="1:20" x14ac:dyDescent="0.3">
      <c r="A35" s="13"/>
      <c r="B35" s="13"/>
      <c r="C35" s="13"/>
      <c r="D35" s="13"/>
      <c r="E35" s="13"/>
      <c r="F35" s="13"/>
      <c r="G35" s="13"/>
      <c r="H35" s="13"/>
      <c r="I35" s="13"/>
      <c r="J35" s="13"/>
      <c r="K35" s="13"/>
      <c r="L35" s="13"/>
      <c r="M35" s="13"/>
      <c r="N35" s="13"/>
      <c r="O35" s="13"/>
      <c r="P35" s="13"/>
      <c r="Q35" s="13"/>
      <c r="R35" s="13"/>
      <c r="S35" s="13"/>
      <c r="T35" s="13"/>
    </row>
    <row r="36" spans="1:20" x14ac:dyDescent="0.3">
      <c r="A36" s="13"/>
      <c r="B36" s="13"/>
      <c r="C36" s="13"/>
      <c r="D36" s="13"/>
      <c r="E36" s="13"/>
      <c r="F36" s="13"/>
      <c r="G36" s="13"/>
      <c r="H36" s="13"/>
      <c r="I36" s="13"/>
      <c r="J36" s="13"/>
      <c r="K36" s="13"/>
      <c r="L36" s="13"/>
      <c r="M36" s="13"/>
      <c r="N36" s="13"/>
      <c r="O36" s="13"/>
      <c r="P36" s="13"/>
      <c r="Q36" s="13"/>
      <c r="R36" s="13"/>
      <c r="S36" s="13"/>
      <c r="T36" s="13"/>
    </row>
    <row r="37" spans="1:20" x14ac:dyDescent="0.3">
      <c r="A37" s="13"/>
      <c r="B37" s="13"/>
      <c r="C37" s="13"/>
      <c r="D37" s="13"/>
      <c r="E37" s="13"/>
      <c r="F37" s="13"/>
      <c r="G37" s="13"/>
      <c r="H37" s="13"/>
      <c r="I37" s="13"/>
      <c r="J37" s="13"/>
      <c r="K37" s="13"/>
      <c r="L37" s="13"/>
      <c r="M37" s="13"/>
      <c r="N37" s="13"/>
      <c r="O37" s="13"/>
      <c r="P37" s="13"/>
      <c r="Q37" s="13"/>
      <c r="R37" s="13"/>
      <c r="S37" s="13"/>
      <c r="T37" s="13"/>
    </row>
    <row r="38" spans="1:20" x14ac:dyDescent="0.3">
      <c r="A38" s="13"/>
      <c r="B38" s="13"/>
      <c r="C38" s="13"/>
      <c r="D38" s="13"/>
      <c r="E38" s="13"/>
      <c r="F38" s="13"/>
      <c r="G38" s="13"/>
      <c r="H38" s="13"/>
      <c r="I38" s="13"/>
      <c r="J38" s="13"/>
      <c r="K38" s="13"/>
      <c r="L38" s="13"/>
      <c r="M38" s="13"/>
      <c r="N38" s="13"/>
      <c r="O38" s="13"/>
      <c r="P38" s="13"/>
      <c r="Q38" s="13"/>
      <c r="R38" s="13"/>
      <c r="S38" s="13"/>
      <c r="T38" s="13"/>
    </row>
    <row r="39" spans="1:20" x14ac:dyDescent="0.3">
      <c r="A39" s="13"/>
      <c r="B39" s="13"/>
      <c r="C39" s="13"/>
      <c r="D39" s="13"/>
      <c r="E39" s="13"/>
      <c r="F39" s="13"/>
      <c r="G39" s="13"/>
      <c r="H39" s="13"/>
      <c r="I39" s="13"/>
      <c r="J39" s="13"/>
      <c r="K39" s="13"/>
      <c r="L39" s="13"/>
      <c r="M39" s="13"/>
      <c r="N39" s="13"/>
      <c r="O39" s="13"/>
      <c r="P39" s="13"/>
      <c r="Q39" s="13"/>
      <c r="R39" s="13"/>
      <c r="S39" s="13"/>
      <c r="T39" s="13"/>
    </row>
    <row r="40" spans="1:20" x14ac:dyDescent="0.3">
      <c r="A40" s="13"/>
      <c r="B40" s="13"/>
      <c r="C40" s="13"/>
      <c r="D40" s="13"/>
      <c r="E40" s="13"/>
      <c r="F40" s="13"/>
      <c r="G40" s="13"/>
      <c r="H40" s="13"/>
      <c r="I40" s="13"/>
      <c r="J40" s="13"/>
      <c r="K40" s="13"/>
      <c r="L40" s="13"/>
      <c r="M40" s="13"/>
      <c r="N40" s="13"/>
      <c r="O40" s="13"/>
      <c r="P40" s="13"/>
      <c r="Q40" s="13"/>
      <c r="R40" s="13"/>
      <c r="S40" s="13"/>
      <c r="T40" s="13"/>
    </row>
    <row r="41" spans="1:20" x14ac:dyDescent="0.3">
      <c r="A41" s="13"/>
      <c r="B41" s="13"/>
      <c r="C41" s="13"/>
      <c r="D41" s="13"/>
      <c r="E41" s="13"/>
      <c r="F41" s="13"/>
      <c r="G41" s="13"/>
      <c r="H41" s="13"/>
      <c r="I41" s="13"/>
      <c r="J41" s="13"/>
      <c r="K41" s="13"/>
      <c r="L41" s="13"/>
      <c r="M41" s="13"/>
      <c r="N41" s="13"/>
      <c r="O41" s="13"/>
      <c r="P41" s="13"/>
      <c r="Q41" s="13"/>
      <c r="R41" s="13"/>
      <c r="S41" s="13"/>
      <c r="T41" s="13"/>
    </row>
    <row r="42" spans="1:20" x14ac:dyDescent="0.3">
      <c r="A42" s="13"/>
      <c r="B42" s="13"/>
      <c r="C42" s="13"/>
      <c r="D42" s="13"/>
      <c r="E42" s="13"/>
      <c r="F42" s="13"/>
      <c r="G42" s="13"/>
      <c r="H42" s="13"/>
      <c r="I42" s="13"/>
      <c r="J42" s="13"/>
      <c r="K42" s="13"/>
      <c r="L42" s="13"/>
      <c r="M42" s="13"/>
      <c r="N42" s="13"/>
      <c r="O42" s="13"/>
      <c r="P42" s="13"/>
      <c r="Q42" s="13"/>
      <c r="R42" s="13"/>
      <c r="S42" s="13"/>
      <c r="T42" s="13"/>
    </row>
    <row r="43" spans="1:20" x14ac:dyDescent="0.3">
      <c r="A43" s="13"/>
      <c r="B43" s="13"/>
      <c r="C43" s="13"/>
      <c r="D43" s="13"/>
      <c r="E43" s="13"/>
      <c r="F43" s="13"/>
      <c r="G43" s="13"/>
      <c r="H43" s="13"/>
      <c r="I43" s="13"/>
      <c r="J43" s="13"/>
      <c r="K43" s="13"/>
      <c r="L43" s="13"/>
      <c r="M43" s="13"/>
      <c r="N43" s="13"/>
      <c r="O43" s="13"/>
      <c r="P43" s="13"/>
      <c r="Q43" s="13"/>
      <c r="R43" s="13"/>
      <c r="S43" s="13"/>
      <c r="T4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B89AAC36-CF2A-45F2-825C-1028EFF4E3C1}">
  <ds:schemaRefs/>
</ds:datastoreItem>
</file>

<file path=customXml/itemProps2.xml><?xml version="1.0" encoding="utf-8"?>
<ds:datastoreItem xmlns:ds="http://schemas.openxmlformats.org/officeDocument/2006/customXml" ds:itemID="{26D31B2A-74C8-454A-9139-CCE582D927D7}">
  <ds:schemaRefs/>
</ds:datastoreItem>
</file>

<file path=customXml/itemProps3.xml><?xml version="1.0" encoding="utf-8"?>
<ds:datastoreItem xmlns:ds="http://schemas.openxmlformats.org/officeDocument/2006/customXml" ds:itemID="{A7767FAC-D879-48AB-99E4-98295B58BE68}">
  <ds:schemaRefs/>
</ds:datastoreItem>
</file>

<file path=customXml/itemProps4.xml><?xml version="1.0" encoding="utf-8"?>
<ds:datastoreItem xmlns:ds="http://schemas.openxmlformats.org/officeDocument/2006/customXml" ds:itemID="{1241C9D6-B5D6-4BC6-87A3-7717394D9B26}">
  <ds:schemaRefs/>
</ds:datastoreItem>
</file>

<file path=customXml/itemProps5.xml><?xml version="1.0" encoding="utf-8"?>
<ds:datastoreItem xmlns:ds="http://schemas.openxmlformats.org/officeDocument/2006/customXml" ds:itemID="{F4AD5601-9B2E-4A3B-9EE3-DB42F6524850}">
  <ds:schemaRefs/>
</ds:datastoreItem>
</file>

<file path=customXml/itemProps6.xml><?xml version="1.0" encoding="utf-8"?>
<ds:datastoreItem xmlns:ds="http://schemas.openxmlformats.org/officeDocument/2006/customXml" ds:itemID="{3F9A2D19-75CE-451F-B995-24C0BCE5272C}">
  <ds:schemaRefs/>
</ds:datastoreItem>
</file>

<file path=customXml/itemProps7.xml><?xml version="1.0" encoding="utf-8"?>
<ds:datastoreItem xmlns:ds="http://schemas.openxmlformats.org/officeDocument/2006/customXml" ds:itemID="{5BA0154D-73E0-4EA4-8E0B-7C873115014C}">
  <ds:schemaRefs/>
</ds:datastoreItem>
</file>

<file path=customXml/itemProps8.xml><?xml version="1.0" encoding="utf-8"?>
<ds:datastoreItem xmlns:ds="http://schemas.openxmlformats.org/officeDocument/2006/customXml" ds:itemID="{D03CDD53-4F29-4CFE-AA16-1AC7F824FD39}">
  <ds:schemaRefs/>
</ds:datastoreItem>
</file>

<file path=customXml/itemProps9.xml><?xml version="1.0" encoding="utf-8"?>
<ds:datastoreItem xmlns:ds="http://schemas.openxmlformats.org/officeDocument/2006/customXml" ds:itemID="{477AF4F3-1093-4C82-A322-3296976F839F}">
  <ds:schemaRefs/>
</ds:datastoreItem>
</file>

<file path=customXml/itemProps10.xml><?xml version="1.0" encoding="utf-8"?>
<ds:datastoreItem xmlns:ds="http://schemas.openxmlformats.org/officeDocument/2006/customXml" ds:itemID="{53896C67-87FF-4D76-98F7-EC630AB922AC}">
  <ds:schemaRefs/>
</ds:datastoreItem>
</file>

<file path=customXml/itemProps11.xml><?xml version="1.0" encoding="utf-8"?>
<ds:datastoreItem xmlns:ds="http://schemas.openxmlformats.org/officeDocument/2006/customXml" ds:itemID="{BBFF531F-9A06-4FD0-A2CE-A2DA6C607CD7}">
  <ds:schemaRefs/>
</ds:datastoreItem>
</file>

<file path=customXml/itemProps12.xml><?xml version="1.0" encoding="utf-8"?>
<ds:datastoreItem xmlns:ds="http://schemas.openxmlformats.org/officeDocument/2006/customXml" ds:itemID="{EE05E79E-83F8-42E5-8205-EF15DC70DB4C}">
  <ds:schemaRefs/>
</ds:datastoreItem>
</file>

<file path=customXml/itemProps13.xml><?xml version="1.0" encoding="utf-8"?>
<ds:datastoreItem xmlns:ds="http://schemas.openxmlformats.org/officeDocument/2006/customXml" ds:itemID="{411C13F4-E003-4A6B-A977-F129D5445E2B}">
  <ds:schemaRefs/>
</ds:datastoreItem>
</file>

<file path=customXml/itemProps14.xml><?xml version="1.0" encoding="utf-8"?>
<ds:datastoreItem xmlns:ds="http://schemas.openxmlformats.org/officeDocument/2006/customXml" ds:itemID="{19FCEEBB-F905-4A65-B157-1127C8399BD1}">
  <ds:schemaRefs/>
</ds:datastoreItem>
</file>

<file path=customXml/itemProps15.xml><?xml version="1.0" encoding="utf-8"?>
<ds:datastoreItem xmlns:ds="http://schemas.openxmlformats.org/officeDocument/2006/customXml" ds:itemID="{5E4819B5-863A-402B-A9DD-4214E63073E1}">
  <ds:schemaRefs/>
</ds:datastoreItem>
</file>

<file path=customXml/itemProps16.xml><?xml version="1.0" encoding="utf-8"?>
<ds:datastoreItem xmlns:ds="http://schemas.openxmlformats.org/officeDocument/2006/customXml" ds:itemID="{E35D9743-A38B-4F16-AD19-9D0AE804DF50}">
  <ds:schemaRefs/>
</ds:datastoreItem>
</file>

<file path=customXml/itemProps17.xml><?xml version="1.0" encoding="utf-8"?>
<ds:datastoreItem xmlns:ds="http://schemas.openxmlformats.org/officeDocument/2006/customXml" ds:itemID="{9B9442A7-4892-4706-94B3-A160AC0C6293}">
  <ds:schemaRefs/>
</ds:datastoreItem>
</file>

<file path=customXml/itemProps18.xml><?xml version="1.0" encoding="utf-8"?>
<ds:datastoreItem xmlns:ds="http://schemas.openxmlformats.org/officeDocument/2006/customXml" ds:itemID="{59ED6A03-07D1-4598-8E9C-F2EA99AF8EF7}">
  <ds:schemaRefs/>
</ds:datastoreItem>
</file>

<file path=customXml/itemProps19.xml><?xml version="1.0" encoding="utf-8"?>
<ds:datastoreItem xmlns:ds="http://schemas.openxmlformats.org/officeDocument/2006/customXml" ds:itemID="{E43FE0E9-1F88-47AB-87A0-A8CC15EF653C}">
  <ds:schemaRefs/>
</ds:datastoreItem>
</file>

<file path=customXml/itemProps20.xml><?xml version="1.0" encoding="utf-8"?>
<ds:datastoreItem xmlns:ds="http://schemas.openxmlformats.org/officeDocument/2006/customXml" ds:itemID="{2C14FC07-AC79-4317-8B46-95AEC565052F}">
  <ds:schemaRefs/>
</ds:datastoreItem>
</file>

<file path=customXml/itemProps21.xml><?xml version="1.0" encoding="utf-8"?>
<ds:datastoreItem xmlns:ds="http://schemas.openxmlformats.org/officeDocument/2006/customXml" ds:itemID="{D7A54C69-2798-4BD7-AE79-C770B70057E3}">
  <ds:schemaRefs/>
</ds:datastoreItem>
</file>

<file path=customXml/itemProps22.xml><?xml version="1.0" encoding="utf-8"?>
<ds:datastoreItem xmlns:ds="http://schemas.openxmlformats.org/officeDocument/2006/customXml" ds:itemID="{10DF9B14-39CF-4AB1-8262-1D7CF29D0602}">
  <ds:schemaRefs/>
</ds:datastoreItem>
</file>

<file path=customXml/itemProps23.xml><?xml version="1.0" encoding="utf-8"?>
<ds:datastoreItem xmlns:ds="http://schemas.openxmlformats.org/officeDocument/2006/customXml" ds:itemID="{DE97B0A4-4D69-4BA6-A2A6-098376CA5CCA}">
  <ds:schemaRefs/>
</ds:datastoreItem>
</file>

<file path=customXml/itemProps24.xml><?xml version="1.0" encoding="utf-8"?>
<ds:datastoreItem xmlns:ds="http://schemas.openxmlformats.org/officeDocument/2006/customXml" ds:itemID="{C7F7E01B-8238-4214-A47A-93C502264F0E}">
  <ds:schemaRefs/>
</ds:datastoreItem>
</file>

<file path=customXml/itemProps25.xml><?xml version="1.0" encoding="utf-8"?>
<ds:datastoreItem xmlns:ds="http://schemas.openxmlformats.org/officeDocument/2006/customXml" ds:itemID="{D80326D2-6AD1-47EC-8530-20B4A7544C32}">
  <ds:schemaRefs/>
</ds:datastoreItem>
</file>

<file path=customXml/itemProps26.xml><?xml version="1.0" encoding="utf-8"?>
<ds:datastoreItem xmlns:ds="http://schemas.openxmlformats.org/officeDocument/2006/customXml" ds:itemID="{AB984F8E-99F1-40F8-B38F-EE797A83B614}">
  <ds:schemaRefs/>
</ds:datastoreItem>
</file>

<file path=customXml/itemProps27.xml><?xml version="1.0" encoding="utf-8"?>
<ds:datastoreItem xmlns:ds="http://schemas.openxmlformats.org/officeDocument/2006/customXml" ds:itemID="{7C5FBEA7-2DDE-4B98-8D52-DCF784DBE15F}">
  <ds:schemaRefs>
    <ds:schemaRef ds:uri="http://schemas.microsoft.com/DataMashup"/>
  </ds:schemaRefs>
</ds:datastoreItem>
</file>

<file path=customXml/itemProps28.xml><?xml version="1.0" encoding="utf-8"?>
<ds:datastoreItem xmlns:ds="http://schemas.openxmlformats.org/officeDocument/2006/customXml" ds:itemID="{13F32678-F900-44B7-9452-77DB3B5C5161}">
  <ds:schemaRefs/>
</ds:datastoreItem>
</file>

<file path=customXml/itemProps29.xml><?xml version="1.0" encoding="utf-8"?>
<ds:datastoreItem xmlns:ds="http://schemas.openxmlformats.org/officeDocument/2006/customXml" ds:itemID="{EBB0034A-2CBE-4F3D-B873-86C6ADD95287}">
  <ds:schemaRefs/>
</ds:datastoreItem>
</file>

<file path=customXml/itemProps30.xml><?xml version="1.0" encoding="utf-8"?>
<ds:datastoreItem xmlns:ds="http://schemas.openxmlformats.org/officeDocument/2006/customXml" ds:itemID="{2EB98EC7-AC02-4927-9FF3-B700CB06C3AD}">
  <ds:schemaRefs/>
</ds:datastoreItem>
</file>

<file path=customXml/itemProps31.xml><?xml version="1.0" encoding="utf-8"?>
<ds:datastoreItem xmlns:ds="http://schemas.openxmlformats.org/officeDocument/2006/customXml" ds:itemID="{D11D6823-F134-46CC-9C9D-EDA6451F7B03}">
  <ds:schemaRefs/>
</ds:datastoreItem>
</file>

<file path=customXml/itemProps32.xml><?xml version="1.0" encoding="utf-8"?>
<ds:datastoreItem xmlns:ds="http://schemas.openxmlformats.org/officeDocument/2006/customXml" ds:itemID="{EA101DA3-5A8B-4D02-A4E2-114CEA2254AC}">
  <ds:schemaRefs/>
</ds:datastoreItem>
</file>

<file path=customXml/itemProps33.xml><?xml version="1.0" encoding="utf-8"?>
<ds:datastoreItem xmlns:ds="http://schemas.openxmlformats.org/officeDocument/2006/customXml" ds:itemID="{A2698376-8400-414B-8493-D87A8E86D502}">
  <ds:schemaRefs/>
</ds:datastoreItem>
</file>

<file path=customXml/itemProps34.xml><?xml version="1.0" encoding="utf-8"?>
<ds:datastoreItem xmlns:ds="http://schemas.openxmlformats.org/officeDocument/2006/customXml" ds:itemID="{882AD0FF-C355-4B73-8E14-D0F48C37AF4C}">
  <ds:schemaRefs/>
</ds:datastoreItem>
</file>

<file path=customXml/itemProps35.xml><?xml version="1.0" encoding="utf-8"?>
<ds:datastoreItem xmlns:ds="http://schemas.openxmlformats.org/officeDocument/2006/customXml" ds:itemID="{AC2C7BE7-7D27-4F7E-9A34-3BC04B396401}">
  <ds:schemaRefs/>
</ds:datastoreItem>
</file>

<file path=customXml/itemProps36.xml><?xml version="1.0" encoding="utf-8"?>
<ds:datastoreItem xmlns:ds="http://schemas.openxmlformats.org/officeDocument/2006/customXml" ds:itemID="{C0896F6C-052B-4138-9A9A-6EB800DAC9CD}">
  <ds:schemaRefs/>
</ds:datastoreItem>
</file>

<file path=customXml/itemProps37.xml><?xml version="1.0" encoding="utf-8"?>
<ds:datastoreItem xmlns:ds="http://schemas.openxmlformats.org/officeDocument/2006/customXml" ds:itemID="{99CA553C-6B41-48B4-B783-941CA3F134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cust</vt:lpstr>
      <vt:lpstr>prod</vt:lpstr>
      <vt:lpstr>order</vt:lpstr>
      <vt:lpstr>sales</vt:lpstr>
      <vt:lpstr>Inv</vt:lpstr>
      <vt:lpstr>date</vt:lpstr>
      <vt:lpstr>Sheet1</vt:lpstr>
      <vt:lpstr>Sheet7</vt:lpstr>
      <vt:lpstr>Sheet2</vt:lpstr>
      <vt:lpstr>Sheet4</vt:lpstr>
      <vt:lpstr>Sheet5</vt:lpstr>
      <vt:lpstr>Sheet6</vt:lpstr>
      <vt:lpstr>Dim_inv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 Yanduri</dc:creator>
  <cp:lastModifiedBy>Harshini Gajjala</cp:lastModifiedBy>
  <dcterms:created xsi:type="dcterms:W3CDTF">2026-06-25T09:12:53Z</dcterms:created>
  <dcterms:modified xsi:type="dcterms:W3CDTF">2026-07-01T15:36:57Z</dcterms:modified>
</cp:coreProperties>
</file>